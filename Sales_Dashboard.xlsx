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ishn\OneDrive\Desktop\"/>
    </mc:Choice>
  </mc:AlternateContent>
  <xr:revisionPtr revIDLastSave="0" documentId="8_{35DBFDEF-ECC7-4410-8BED-3DF582E41763}" xr6:coauthVersionLast="47" xr6:coauthVersionMax="47" xr10:uidLastSave="{00000000-0000-0000-0000-000000000000}"/>
  <bookViews>
    <workbookView xWindow="-108" yWindow="-108" windowWidth="23256" windowHeight="12456" xr2:uid="{99935FD6-43FE-4F99-8AF1-1B772AA88FBD}"/>
  </bookViews>
  <sheets>
    <sheet name="Sales Data" sheetId="1" r:id="rId1"/>
    <sheet name="Pivot Analysis" sheetId="6" r:id="rId2"/>
    <sheet name="Sales Dashboard" sheetId="7" r:id="rId3"/>
  </sheets>
  <definedNames>
    <definedName name="Slicer_Payment_Method">#N/A</definedName>
    <definedName name="Slicer_Product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8" i="6" l="1"/>
  <c r="Z19" i="7"/>
  <c r="B246" i="6"/>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alcChain>
</file>

<file path=xl/sharedStrings.xml><?xml version="1.0" encoding="utf-8"?>
<sst xmlns="http://schemas.openxmlformats.org/spreadsheetml/2006/main" count="1028" uniqueCount="275">
  <si>
    <t>Transaction ID</t>
  </si>
  <si>
    <t>Date</t>
  </si>
  <si>
    <t>Product Category</t>
  </si>
  <si>
    <t>Product Name</t>
  </si>
  <si>
    <t>Units Sold</t>
  </si>
  <si>
    <t>Unit Price</t>
  </si>
  <si>
    <t>Total Revenue</t>
  </si>
  <si>
    <t>Region</t>
  </si>
  <si>
    <t>Payment Method</t>
  </si>
  <si>
    <t>Electronics</t>
  </si>
  <si>
    <t>iPhone 14 Pro</t>
  </si>
  <si>
    <t>North America</t>
  </si>
  <si>
    <t>Credit Card</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</si>
  <si>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</si>
  <si>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</si>
  <si>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</si>
  <si>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</si>
  <si>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</si>
  <si>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</si>
  <si>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</si>
  <si>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</si>
  <si>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</si>
  <si>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</si>
  <si>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</si>
  <si>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</si>
  <si>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</si>
  <si>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</si>
  <si>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</si>
  <si>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</si>
  <si>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</si>
  <si>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</si>
  <si>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</si>
  <si>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</si>
  <si>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</si>
  <si>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</si>
  <si>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</si>
  <si>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</si>
  <si>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</si>
  <si>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</si>
  <si>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</si>
  <si>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</si>
  <si>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</si>
  <si>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</si>
  <si>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</si>
  <si>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</si>
  <si>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</si>
  <si>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</si>
  <si>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</si>
  <si>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</si>
  <si>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</si>
  <si>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</si>
  <si>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</si>
  <si>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</si>
  <si>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</si>
  <si>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</si>
  <si>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</si>
  <si>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</si>
  <si>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</si>
  <si>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</si>
  <si>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</si>
  <si>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</si>
  <si>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</si>
  <si>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</si>
  <si>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</si>
  <si>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</si>
  <si>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</si>
  <si>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</si>
  <si>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</si>
  <si>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</si>
  <si>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</si>
  <si>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</si>
  <si>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</si>
  <si>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</si>
  <si>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</si>
  <si>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</si>
  <si>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</si>
  <si>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</si>
  <si>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</si>
  <si>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</si>
  <si>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</si>
  <si>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</si>
  <si>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</si>
  <si>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</si>
  <si>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</si>
  <si>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</si>
  <si>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</si>
  <si>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</si>
  <si>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</si>
  <si>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</si>
  <si>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</si>
  <si>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</si>
  <si>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</si>
  <si>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</si>
  <si>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</si>
  <si>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</si>
  <si>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</si>
  <si>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</si>
  <si>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</si>
  <si>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</si>
  <si>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</si>
  <si>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</si>
  <si>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</si>
  <si>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</si>
  <si>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</si>
  <si>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</si>
  <si>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</si>
  <si>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</si>
  <si>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</si>
  <si>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</si>
  <si>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</si>
  <si>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</si>
  <si>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</si>
  <si>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</si>
  <si>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</si>
  <si>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</si>
  <si>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</si>
  <si>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</si>
  <si>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</si>
  <si>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</si>
  <si>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</si>
  <si>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</si>
  <si>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</si>
  <si>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</si>
  <si>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</si>
  <si>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</si>
  <si>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</si>
  <si>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</si>
  <si>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</si>
  <si>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</si>
  <si>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</si>
  <si>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</si>
  <si>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</si>
  <si>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</si>
  <si>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</si>
  <si>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</si>
  <si>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</si>
  <si>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</si>
  <si>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</si>
  <si>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</si>
  <si>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</si>
  <si>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</si>
  <si>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</si>
  <si>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</si>
  <si>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</si>
  <si>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</si>
  <si>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</si>
  <si>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</si>
  <si>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</si>
  <si>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</si>
  <si>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</si>
  <si>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</si>
  <si>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</si>
  <si>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</si>
  <si>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</si>
  <si>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</si>
  <si>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</si>
  <si>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</si>
  <si>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</si>
  <si>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</si>
  <si>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</si>
  <si>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</si>
  <si>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</si>
  <si>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</si>
  <si>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</si>
  <si>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</si>
  <si>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</si>
  <si>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</si>
  <si>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</si>
  <si>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</si>
  <si>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</si>
  <si>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</si>
  <si>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</si>
  <si>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</si>
  <si>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</si>
  <si>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</si>
  <si>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</si>
  <si>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</si>
  <si>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</si>
  <si>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</si>
  <si>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</si>
  <si>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</si>
  <si>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</si>
  <si>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</si>
  <si>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</si>
  <si>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</si>
  <si>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</si>
  <si>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</si>
  <si>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</si>
  <si>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</si>
  <si>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</si>
  <si>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</si>
  <si>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</si>
  <si>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</si>
  <si>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</si>
  <si>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</si>
  <si>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</si>
  <si>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</si>
  <si>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</si>
  <si>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</si>
  <si>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</si>
  <si>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</si>
  <si>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</si>
  <si>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</si>
  <si>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CrÃ¨me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</si>
  <si>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</si>
  <si>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</si>
  <si>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</si>
  <si>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</si>
  <si>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</si>
  <si>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</si>
  <si>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</si>
  <si>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</si>
  <si>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</si>
  <si>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</si>
  <si>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</si>
  <si>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</si>
  <si>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</si>
  <si>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</si>
  <si>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</si>
  <si>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</si>
  <si>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</si>
  <si>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</si>
  <si>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</si>
  <si>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</si>
  <si>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</si>
  <si>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</si>
  <si>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</si>
  <si>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</si>
  <si>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</si>
  <si>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</si>
  <si>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</si>
  <si>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</si>
  <si>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</si>
  <si>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</si>
  <si>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</si>
  <si>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</si>
  <si>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</si>
  <si>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</si>
  <si>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</si>
  <si>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</si>
  <si>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</si>
  <si>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</si>
  <si>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</si>
  <si>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</si>
  <si>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</si>
  <si>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</si>
  <si>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</si>
  <si>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</si>
  <si>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</si>
  <si>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</si>
  <si>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</si>
  <si>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</si>
  <si>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</si>
  <si>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Month</t>
  </si>
  <si>
    <t>YEAR</t>
  </si>
  <si>
    <t>MONTH Numner</t>
  </si>
  <si>
    <t>Sum of Total Revenue</t>
  </si>
  <si>
    <t>Sum of Units Sold</t>
  </si>
  <si>
    <t>Grand Total</t>
  </si>
  <si>
    <t>Jan</t>
  </si>
  <si>
    <t>Feb</t>
  </si>
  <si>
    <t>Mar</t>
  </si>
  <si>
    <t>Apr</t>
  </si>
  <si>
    <t>May</t>
  </si>
  <si>
    <t>Jun</t>
  </si>
  <si>
    <t>Jul</t>
  </si>
  <si>
    <t>Aug</t>
  </si>
  <si>
    <t>Revenue By Category</t>
  </si>
  <si>
    <t>Revenue By Region</t>
  </si>
  <si>
    <t>Monthly sales Trends</t>
  </si>
  <si>
    <t>Top Products</t>
  </si>
  <si>
    <t>Transaction Id</t>
  </si>
  <si>
    <t>Category</t>
  </si>
  <si>
    <t>Total orders</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</si>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</sst>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7"/>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0"/>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xf numFmtId="164" fontId="18" fillId="34" borderId="0" xfId="0" applyNumberFormat="1" applyFont="1" applyFill="1"/>
    <xf numFmtId="164" fontId="0" fillId="0" borderId="0" xfId="0" applyNumberFormat="1"/>
    <xf numFmtId="1" fontId="18" fillId="34" borderId="0" xfId="0" applyNumberFormat="1" applyFont="1" applyFill="1"/>
    <xf numFmtId="1" fontId="0" fillId="0" borderId="0" xfId="0" applyNumberFormat="1"/>
    <xf numFmtId="1" fontId="0" fillId="0" borderId="0" xfId="0" pivotButton="1" applyNumberFormat="1"/>
    <xf numFmtId="1" fontId="0" fillId="0" borderId="0" xfId="0" applyNumberFormat="1" applyAlignment="1">
      <alignment horizontal="left"/>
    </xf>
    <xf numFmtId="1" fontId="0" fillId="35" borderId="0" xfId="0" applyNumberFormat="1" applyFill="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64" formatCode="&quot;₹&quot;\ #,##0.00"/>
    </dxf>
    <dxf>
      <numFmt numFmtId="164" formatCode="&quot;₹&quot;\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00"/>
    </dxf>
    <dxf>
      <numFmt numFmtId="164" formatCode="&quot;₹&quot;\ #,##0.00"/>
    </dxf>
    <dxf>
      <numFmt numFmtId="164" formatCode="&quot;₹&quot;\ #,##0.00"/>
    </dxf>
    <dxf>
      <numFmt numFmtId="164" formatCode="&quot;₹&quot;\ #,##0.00"/>
    </dxf>
    <dxf>
      <numFmt numFmtId="164" formatCode="&quot;₹&quot;\ #,##0.00"/>
    </dxf>
    <dxf>
      <numFmt numFmtId="1" formatCode="0"/>
    </dxf>
    <dxf>
      <numFmt numFmtId="0" formatCode="General"/>
    </dxf>
    <dxf>
      <numFmt numFmtId="0" formatCode="General"/>
    </dxf>
    <dxf>
      <numFmt numFmtId="164" formatCode="&quot;₹&quot;\ #,##0.00"/>
    </dxf>
    <dxf>
      <numFmt numFmtId="164" formatCode="&quot;₹&quot;\ #,##0.00"/>
    </dxf>
    <dxf>
      <numFmt numFmtId="1" formatCode="0"/>
    </dxf>
    <dxf>
      <numFmt numFmtId="19" formatCode="dd/mm/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Analysis!Revenue by region</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Revenue by Region</a:t>
            </a:r>
          </a:p>
        </c:rich>
      </c:tx>
      <c:layout>
        <c:manualLayout>
          <c:xMode val="edge"/>
          <c:yMode val="edge"/>
          <c:x val="0.58676926747792901"/>
          <c:y val="2.3957531624336434E-2"/>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Analysis'!$G$3</c:f>
              <c:strCache>
                <c:ptCount val="1"/>
                <c:pt idx="0">
                  <c:v>Total</c:v>
                </c:pt>
              </c:strCache>
            </c:strRef>
          </c:tx>
          <c:spPr>
            <a:solidFill>
              <a:schemeClr val="accent1"/>
            </a:solidFill>
            <a:ln>
              <a:noFill/>
            </a:ln>
            <a:effectLst/>
          </c:spPr>
          <c:invertIfNegative val="0"/>
          <c:cat>
            <c:strRef>
              <c:f>'Pivot Analysis'!$F$4:$F$7</c:f>
              <c:strCache>
                <c:ptCount val="3"/>
                <c:pt idx="0">
                  <c:v>Asia</c:v>
                </c:pt>
                <c:pt idx="1">
                  <c:v>Europe</c:v>
                </c:pt>
                <c:pt idx="2">
                  <c:v>North America</c:v>
                </c:pt>
              </c:strCache>
            </c:strRef>
          </c:cat>
          <c:val>
            <c:numRef>
              <c:f>'Pivot Analysis'!$G$4:$G$7</c:f>
              <c:numCache>
                <c:formatCode>"₹"\ #,##0.00</c:formatCode>
                <c:ptCount val="3"/>
                <c:pt idx="0">
                  <c:v>22455.449999999997</c:v>
                </c:pt>
                <c:pt idx="1">
                  <c:v>21268.060000000005</c:v>
                </c:pt>
                <c:pt idx="2">
                  <c:v>36844.340000000018</c:v>
                </c:pt>
              </c:numCache>
            </c:numRef>
          </c:val>
          <c:extLst>
            <c:ext xmlns:c16="http://schemas.microsoft.com/office/drawing/2014/chart" uri="{C3380CC4-5D6E-409C-BE32-E72D297353CC}">
              <c16:uniqueId val="{00000000-B9D6-4A53-9935-C547FFCD6566}"/>
            </c:ext>
          </c:extLst>
        </c:ser>
        <c:dLbls>
          <c:showLegendKey val="0"/>
          <c:showVal val="0"/>
          <c:showCatName val="0"/>
          <c:showSerName val="0"/>
          <c:showPercent val="0"/>
          <c:showBubbleSize val="0"/>
        </c:dLbls>
        <c:gapWidth val="219"/>
        <c:overlap val="-27"/>
        <c:axId val="801822240"/>
        <c:axId val="801824640"/>
      </c:barChart>
      <c:catAx>
        <c:axId val="80182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824640"/>
        <c:crosses val="autoZero"/>
        <c:auto val="1"/>
        <c:lblAlgn val="ctr"/>
        <c:lblOffset val="100"/>
        <c:noMultiLvlLbl val="0"/>
      </c:catAx>
      <c:valAx>
        <c:axId val="801824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82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Analysis!Revenue by Product Category</c:name>
    <c:fmtId val="2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Revenue</a:t>
            </a:r>
            <a:r>
              <a:rPr lang="en-US">
                <a:solidFill>
                  <a:schemeClr val="tx1"/>
                </a:solidFill>
              </a:rPr>
              <a:t> </a:t>
            </a:r>
            <a:r>
              <a:rPr lang="en-US" b="1">
                <a:solidFill>
                  <a:schemeClr val="tx1"/>
                </a:solidFill>
              </a:rPr>
              <a:t>by Category</a:t>
            </a:r>
          </a:p>
        </c:rich>
      </c:tx>
      <c:layout>
        <c:manualLayout>
          <c:xMode val="edge"/>
          <c:yMode val="edge"/>
          <c:x val="0.64480555555555552"/>
          <c:y val="4.9905220180810735E-2"/>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Analysis'!$G$10</c:f>
              <c:strCache>
                <c:ptCount val="1"/>
                <c:pt idx="0">
                  <c:v>Total</c:v>
                </c:pt>
              </c:strCache>
            </c:strRef>
          </c:tx>
          <c:spPr>
            <a:solidFill>
              <a:schemeClr val="accent6"/>
            </a:solidFill>
            <a:ln>
              <a:noFill/>
            </a:ln>
            <a:effectLst/>
          </c:spPr>
          <c:invertIfNegative val="0"/>
          <c:cat>
            <c:strRef>
              <c:f>'Pivot Analysis'!$F$11:$F$17</c:f>
              <c:strCache>
                <c:ptCount val="6"/>
                <c:pt idx="0">
                  <c:v>Beauty Products</c:v>
                </c:pt>
                <c:pt idx="1">
                  <c:v>Books</c:v>
                </c:pt>
                <c:pt idx="2">
                  <c:v>Clothing</c:v>
                </c:pt>
                <c:pt idx="3">
                  <c:v>Electronics</c:v>
                </c:pt>
                <c:pt idx="4">
                  <c:v>Home Appliances</c:v>
                </c:pt>
                <c:pt idx="5">
                  <c:v>Sports</c:v>
                </c:pt>
              </c:strCache>
            </c:strRef>
          </c:cat>
          <c:val>
            <c:numRef>
              <c:f>'Pivot Analysis'!$G$11:$G$17</c:f>
              <c:numCache>
                <c:formatCode>"₹"\ #,##0.00</c:formatCode>
                <c:ptCount val="6"/>
                <c:pt idx="0">
                  <c:v>2621.8999999999996</c:v>
                </c:pt>
                <c:pt idx="1">
                  <c:v>1861.9300000000007</c:v>
                </c:pt>
                <c:pt idx="2">
                  <c:v>8128.9300000000012</c:v>
                </c:pt>
                <c:pt idx="3">
                  <c:v>34982.410000000011</c:v>
                </c:pt>
                <c:pt idx="4">
                  <c:v>18646.16</c:v>
                </c:pt>
                <c:pt idx="5">
                  <c:v>14326.519999999997</c:v>
                </c:pt>
              </c:numCache>
            </c:numRef>
          </c:val>
          <c:extLst>
            <c:ext xmlns:c16="http://schemas.microsoft.com/office/drawing/2014/chart" uri="{C3380CC4-5D6E-409C-BE32-E72D297353CC}">
              <c16:uniqueId val="{00000000-2BD7-4499-B90B-3F88B4A0CE33}"/>
            </c:ext>
          </c:extLst>
        </c:ser>
        <c:dLbls>
          <c:showLegendKey val="0"/>
          <c:showVal val="0"/>
          <c:showCatName val="0"/>
          <c:showSerName val="0"/>
          <c:showPercent val="0"/>
          <c:showBubbleSize val="0"/>
        </c:dLbls>
        <c:gapWidth val="150"/>
        <c:overlap val="100"/>
        <c:axId val="947548816"/>
        <c:axId val="947549776"/>
      </c:barChart>
      <c:catAx>
        <c:axId val="94754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549776"/>
        <c:crosses val="autoZero"/>
        <c:auto val="1"/>
        <c:lblAlgn val="ctr"/>
        <c:lblOffset val="100"/>
        <c:noMultiLvlLbl val="0"/>
      </c:catAx>
      <c:valAx>
        <c:axId val="947549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54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Analysis!Payment Method Analysis</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Payment Methods</a:t>
            </a:r>
          </a:p>
        </c:rich>
      </c:tx>
      <c:layout>
        <c:manualLayout>
          <c:xMode val="edge"/>
          <c:yMode val="edge"/>
          <c:x val="0.67491666666666672"/>
          <c:y val="2.6757072032662588E-2"/>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Analysis'!$G$20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A4-4460-9682-803CA2A586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A4-4460-9682-803CA2A586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A4-4460-9682-803CA2A58690}"/>
              </c:ext>
            </c:extLst>
          </c:dPt>
          <c:cat>
            <c:strRef>
              <c:f>'Pivot Analysis'!$F$21:$F$24</c:f>
              <c:strCache>
                <c:ptCount val="3"/>
                <c:pt idx="0">
                  <c:v>Credit Card</c:v>
                </c:pt>
                <c:pt idx="1">
                  <c:v>Debit Card</c:v>
                </c:pt>
                <c:pt idx="2">
                  <c:v>PayPal</c:v>
                </c:pt>
              </c:strCache>
            </c:strRef>
          </c:cat>
          <c:val>
            <c:numRef>
              <c:f>'Pivot Analysis'!$G$21:$G$24</c:f>
              <c:numCache>
                <c:formatCode>"₹"\ #,##0.00</c:formatCode>
                <c:ptCount val="3"/>
                <c:pt idx="0">
                  <c:v>51170.860000000015</c:v>
                </c:pt>
                <c:pt idx="1">
                  <c:v>8128.9300000000012</c:v>
                </c:pt>
                <c:pt idx="2">
                  <c:v>21268.060000000005</c:v>
                </c:pt>
              </c:numCache>
            </c:numRef>
          </c:val>
          <c:extLst>
            <c:ext xmlns:c16="http://schemas.microsoft.com/office/drawing/2014/chart" uri="{C3380CC4-5D6E-409C-BE32-E72D297353CC}">
              <c16:uniqueId val="{00000006-96A4-4460-9682-803CA2A586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Analysis!PivotTable8</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1"/>
                </a:solidFill>
              </a:rPr>
              <a:t>Monthly Sales Trend</a:t>
            </a:r>
          </a:p>
        </c:rich>
      </c:tx>
      <c:layout>
        <c:manualLayout>
          <c:xMode val="edge"/>
          <c:yMode val="edge"/>
          <c:x val="0.63087878787878793"/>
          <c:y val="2.0553314179585856E-2"/>
        </c:manualLayout>
      </c:layout>
      <c:overlay val="0"/>
      <c:spPr>
        <a:solidFill>
          <a:schemeClr val="accent2"/>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Analysis'!$G$28</c:f>
              <c:strCache>
                <c:ptCount val="1"/>
                <c:pt idx="0">
                  <c:v>Total</c:v>
                </c:pt>
              </c:strCache>
            </c:strRef>
          </c:tx>
          <c:spPr>
            <a:ln w="22225" cap="rnd">
              <a:solidFill>
                <a:schemeClr val="accent4"/>
              </a:solidFill>
              <a:round/>
            </a:ln>
            <a:effectLst/>
          </c:spPr>
          <c:marker>
            <c:symbol val="diamond"/>
            <c:size val="6"/>
            <c:spPr>
              <a:solidFill>
                <a:schemeClr val="accent4"/>
              </a:solidFill>
              <a:ln w="9525">
                <a:solidFill>
                  <a:schemeClr val="accent4"/>
                </a:solidFill>
                <a:round/>
              </a:ln>
              <a:effectLst/>
            </c:spPr>
          </c:marker>
          <c:cat>
            <c:strRef>
              <c:f>'Pivot Analysis'!$F$29:$F$37</c:f>
              <c:strCache>
                <c:ptCount val="8"/>
                <c:pt idx="0">
                  <c:v>Jan</c:v>
                </c:pt>
                <c:pt idx="1">
                  <c:v>Feb</c:v>
                </c:pt>
                <c:pt idx="2">
                  <c:v>Mar</c:v>
                </c:pt>
                <c:pt idx="3">
                  <c:v>Apr</c:v>
                </c:pt>
                <c:pt idx="4">
                  <c:v>May</c:v>
                </c:pt>
                <c:pt idx="5">
                  <c:v>Jun</c:v>
                </c:pt>
                <c:pt idx="6">
                  <c:v>Jul</c:v>
                </c:pt>
                <c:pt idx="7">
                  <c:v>Aug</c:v>
                </c:pt>
              </c:strCache>
            </c:strRef>
          </c:cat>
          <c:val>
            <c:numRef>
              <c:f>'Pivot Analysis'!$G$29:$G$37</c:f>
              <c:numCache>
                <c:formatCode>"₹"\ #,##0.00</c:formatCode>
                <c:ptCount val="8"/>
                <c:pt idx="0">
                  <c:v>14548.319999999992</c:v>
                </c:pt>
                <c:pt idx="1">
                  <c:v>10803.369999999999</c:v>
                </c:pt>
                <c:pt idx="2">
                  <c:v>12849.239999999996</c:v>
                </c:pt>
                <c:pt idx="3">
                  <c:v>12451.689999999995</c:v>
                </c:pt>
                <c:pt idx="4">
                  <c:v>8455.49</c:v>
                </c:pt>
                <c:pt idx="5">
                  <c:v>7384.5499999999984</c:v>
                </c:pt>
                <c:pt idx="6">
                  <c:v>6797.08</c:v>
                </c:pt>
                <c:pt idx="7">
                  <c:v>7278.1099999999988</c:v>
                </c:pt>
              </c:numCache>
            </c:numRef>
          </c:val>
          <c:smooth val="0"/>
          <c:extLst>
            <c:ext xmlns:c16="http://schemas.microsoft.com/office/drawing/2014/chart" uri="{C3380CC4-5D6E-409C-BE32-E72D297353CC}">
              <c16:uniqueId val="{00000000-1B60-4C20-990D-E9931D1937D3}"/>
            </c:ext>
          </c:extLst>
        </c:ser>
        <c:dLbls>
          <c:showLegendKey val="0"/>
          <c:showVal val="0"/>
          <c:showCatName val="0"/>
          <c:showSerName val="0"/>
          <c:showPercent val="0"/>
          <c:showBubbleSize val="0"/>
        </c:dLbls>
        <c:marker val="1"/>
        <c:smooth val="0"/>
        <c:axId val="798603408"/>
        <c:axId val="798603888"/>
      </c:lineChart>
      <c:catAx>
        <c:axId val="798603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98603888"/>
        <c:crosses val="autoZero"/>
        <c:auto val="1"/>
        <c:lblAlgn val="ctr"/>
        <c:lblOffset val="100"/>
        <c:noMultiLvlLbl val="0"/>
      </c:catAx>
      <c:valAx>
        <c:axId val="798603888"/>
        <c:scaling>
          <c:orientation val="minMax"/>
        </c:scaling>
        <c:delete val="0"/>
        <c:axPos val="l"/>
        <c:numFmt formatCode="&quot;₹&quot;\ #,##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60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[Sales_Dashboard.xlsx]Pivot Analysis!PivotTable6</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 Products</a:t>
            </a:r>
          </a:p>
        </c:rich>
      </c:tx>
      <c:layout>
        <c:manualLayout>
          <c:xMode val="edge"/>
          <c:yMode val="edge"/>
          <c:x val="0.74058180227471571"/>
          <c:y val="2.1035765932760311E-2"/>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c:f>
              <c:strCache>
                <c:ptCount val="1"/>
                <c:pt idx="0">
                  <c:v>Total</c:v>
                </c:pt>
              </c:strCache>
            </c:strRef>
          </c:tx>
          <c:spPr>
            <a:solidFill>
              <a:schemeClr val="accent1"/>
            </a:solidFill>
            <a:ln>
              <a:noFill/>
            </a:ln>
            <a:effectLst/>
          </c:spPr>
          <c:invertIfNegative val="0"/>
          <c:cat>
            <c:strRef>
              <c:f>'Pivot Analysis'!$J$4:$J$14</c:f>
              <c:strCache>
                <c:ptCount val="10"/>
                <c:pt idx="0">
                  <c:v>Canon EOS R5 Camera</c:v>
                </c:pt>
                <c:pt idx="1">
                  <c:v>LG OLED TV</c:v>
                </c:pt>
                <c:pt idx="2">
                  <c:v>MacBook Pro 16-inch</c:v>
                </c:pt>
                <c:pt idx="3">
                  <c:v>Apple MacBook Pro 16-inch</c:v>
                </c:pt>
                <c:pt idx="4">
                  <c:v>iPhone 14 Pro</c:v>
                </c:pt>
                <c:pt idx="5">
                  <c:v>Peloton Bike</c:v>
                </c:pt>
                <c:pt idx="6">
                  <c:v>HP Spectre x360 Laptop</c:v>
                </c:pt>
                <c:pt idx="7">
                  <c:v>Roomba i7+</c:v>
                </c:pt>
                <c:pt idx="8">
                  <c:v>Garmin Forerunner 945</c:v>
                </c:pt>
                <c:pt idx="9">
                  <c:v>Samsung Odyssey G9 Gaming Monitor</c:v>
                </c:pt>
              </c:strCache>
            </c:strRef>
          </c:cat>
          <c:val>
            <c:numRef>
              <c:f>'Pivot Analysis'!$K$4:$K$14</c:f>
              <c:numCache>
                <c:formatCode>"₹"\ #,##0.00</c:formatCode>
                <c:ptCount val="10"/>
                <c:pt idx="0">
                  <c:v>3899.99</c:v>
                </c:pt>
                <c:pt idx="1">
                  <c:v>2599.98</c:v>
                </c:pt>
                <c:pt idx="2">
                  <c:v>2499.9899999999998</c:v>
                </c:pt>
                <c:pt idx="3">
                  <c:v>2399</c:v>
                </c:pt>
                <c:pt idx="4">
                  <c:v>1999.98</c:v>
                </c:pt>
                <c:pt idx="5">
                  <c:v>1895</c:v>
                </c:pt>
                <c:pt idx="6">
                  <c:v>1599.99</c:v>
                </c:pt>
                <c:pt idx="7">
                  <c:v>1599.98</c:v>
                </c:pt>
                <c:pt idx="8">
                  <c:v>1599.97</c:v>
                </c:pt>
                <c:pt idx="9">
                  <c:v>1499.99</c:v>
                </c:pt>
              </c:numCache>
            </c:numRef>
          </c:val>
          <c:extLst>
            <c:ext xmlns:c16="http://schemas.microsoft.com/office/drawing/2014/chart" uri="{C3380CC4-5D6E-409C-BE32-E72D297353CC}">
              <c16:uniqueId val="{00000000-2B25-43A6-A10A-3247766703BD}"/>
            </c:ext>
          </c:extLst>
        </c:ser>
        <c:dLbls>
          <c:showLegendKey val="0"/>
          <c:showVal val="0"/>
          <c:showCatName val="0"/>
          <c:showSerName val="0"/>
          <c:showPercent val="0"/>
          <c:showBubbleSize val="0"/>
        </c:dLbls>
        <c:gapWidth val="219"/>
        <c:overlap val="-27"/>
        <c:axId val="1000304784"/>
        <c:axId val="1000306224"/>
      </c:barChart>
      <c:catAx>
        <c:axId val="100030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06224"/>
        <c:crosses val="autoZero"/>
        <c:auto val="1"/>
        <c:lblAlgn val="ctr"/>
        <c:lblOffset val="100"/>
        <c:noMultiLvlLbl val="0"/>
      </c:catAx>
      <c:valAx>
        <c:axId val="1000306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0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175260</xdr:colOff>
      <xdr:row>15</xdr:row>
      <xdr:rowOff>160021</xdr:rowOff>
    </xdr:from>
    <xdr:to>
      <xdr:col>8</xdr:col>
      <xdr:colOff>1089661</xdr:colOff>
      <xdr:row>24</xdr:row>
      <xdr:rowOff>83821</xdr:rowOff>
    </xdr:to>
    <mc:AlternateContent xmlns:mc="http://schemas.openxmlformats.org/markup-compatibility/2006" xmlns:a14="http://schemas.microsoft.com/office/drawing/2010/main">
      <mc:Choice Requires="a14">
        <xdr:graphicFrame macro="">
          <xdr:nvGraphicFramePr>
            <xdr:cNvPr id="11" name="Product Category">
              <a:extLst>
                <a:ext uri="{FF2B5EF4-FFF2-40B4-BE49-F238E27FC236}">
                  <a16:creationId xmlns:a16="http://schemas.microsoft.com/office/drawing/2014/main" id="{20784593-EB26-C93E-5244-13681847CBF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421880" y="2903221"/>
              <a:ext cx="179832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678180</xdr:colOff>
      <xdr:row>4</xdr:row>
      <xdr:rowOff>114301</xdr:rowOff>
    </xdr:from>
    <xdr:to>
      <xdr:col>8</xdr:col>
      <xdr:colOff>1005841</xdr:colOff>
      <xdr:row>14</xdr:row>
      <xdr:rowOff>22861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7A5707E1-924F-6894-760C-4FAFB4BEAF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24800" y="845821"/>
              <a:ext cx="121158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182880</xdr:colOff>
      <xdr:row>6</xdr:row>
      <xdr:rowOff>152401</xdr:rowOff>
    </xdr:from>
    <xdr:to>
      <xdr:col>4</xdr:col>
      <xdr:colOff>289560</xdr:colOff>
      <xdr:row>17</xdr:row>
      <xdr:rowOff>45721</xdr:rowOff>
    </xdr:to>
    <mc:AlternateContent xmlns:mc="http://schemas.openxmlformats.org/markup-compatibility/2006" xmlns:a14="http://schemas.microsoft.com/office/drawing/2010/main">
      <mc:Choice Requires="a14">
        <xdr:graphicFrame macro="">
          <xdr:nvGraphicFramePr>
            <xdr:cNvPr id="13" name="Payment Method">
              <a:extLst>
                <a:ext uri="{FF2B5EF4-FFF2-40B4-BE49-F238E27FC236}">
                  <a16:creationId xmlns:a16="http://schemas.microsoft.com/office/drawing/2014/main" id="{7BE6BFDF-8490-CF99-1294-D90AD92EA66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489960" y="1249681"/>
              <a:ext cx="120396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68580</xdr:colOff>
      <xdr:row>17</xdr:row>
      <xdr:rowOff>167641</xdr:rowOff>
    </xdr:from>
    <xdr:to>
      <xdr:col>4</xdr:col>
      <xdr:colOff>160020</xdr:colOff>
      <xdr:row>30</xdr:row>
      <xdr:rowOff>114301</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023DCE6B-6A27-DF1B-4EC7-C5143167782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75660" y="3276601"/>
              <a:ext cx="1188720"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83820</xdr:rowOff>
    </xdr:from>
    <xdr:to>
      <xdr:col>5</xdr:col>
      <xdr:colOff>472440</xdr:colOff>
      <xdr:row>18</xdr:row>
      <xdr:rowOff>57150</xdr:rowOff>
    </xdr:to>
    <xdr:graphicFrame macro="">
      <xdr:nvGraphicFramePr>
        <xdr:cNvPr id="3" name="Chart 2">
          <a:extLst>
            <a:ext uri="{FF2B5EF4-FFF2-40B4-BE49-F238E27FC236}">
              <a16:creationId xmlns:a16="http://schemas.microsoft.com/office/drawing/2014/main" id="{BAE4F3DE-4F27-482E-9102-2CDE56156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4</xdr:row>
      <xdr:rowOff>0</xdr:rowOff>
    </xdr:from>
    <xdr:to>
      <xdr:col>12</xdr:col>
      <xdr:colOff>281940</xdr:colOff>
      <xdr:row>20</xdr:row>
      <xdr:rowOff>45720</xdr:rowOff>
    </xdr:to>
    <xdr:graphicFrame macro="">
      <xdr:nvGraphicFramePr>
        <xdr:cNvPr id="4" name="Chart 3">
          <a:extLst>
            <a:ext uri="{FF2B5EF4-FFF2-40B4-BE49-F238E27FC236}">
              <a16:creationId xmlns:a16="http://schemas.microsoft.com/office/drawing/2014/main" id="{4DF6F2A1-4527-452C-BBC9-4A1927CBC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426720</xdr:colOff>
      <xdr:row>4</xdr:row>
      <xdr:rowOff>83820</xdr:rowOff>
    </xdr:from>
    <xdr:to>
      <xdr:col>20</xdr:col>
      <xdr:colOff>121920</xdr:colOff>
      <xdr:row>19</xdr:row>
      <xdr:rowOff>83820</xdr:rowOff>
    </xdr:to>
    <xdr:graphicFrame macro="">
      <xdr:nvGraphicFramePr>
        <xdr:cNvPr id="5" name="Chart 4">
          <a:extLst>
            <a:ext uri="{FF2B5EF4-FFF2-40B4-BE49-F238E27FC236}">
              <a16:creationId xmlns:a16="http://schemas.microsoft.com/office/drawing/2014/main" id="{00EE5637-322F-43ED-A53F-3B6D5B0B5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99060</xdr:rowOff>
    </xdr:from>
    <xdr:to>
      <xdr:col>6</xdr:col>
      <xdr:colOff>533400</xdr:colOff>
      <xdr:row>36</xdr:row>
      <xdr:rowOff>91440</xdr:rowOff>
    </xdr:to>
    <xdr:graphicFrame macro="">
      <xdr:nvGraphicFramePr>
        <xdr:cNvPr id="6" name="Chart 5">
          <a:extLst>
            <a:ext uri="{FF2B5EF4-FFF2-40B4-BE49-F238E27FC236}">
              <a16:creationId xmlns:a16="http://schemas.microsoft.com/office/drawing/2014/main" id="{48394FD0-24F8-4ADD-BF8C-5EFA86E22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217715</xdr:colOff>
      <xdr:row>21</xdr:row>
      <xdr:rowOff>10885</xdr:rowOff>
    </xdr:from>
    <xdr:to>
      <xdr:col>21</xdr:col>
      <xdr:colOff>141515</xdr:colOff>
      <xdr:row>43</xdr:row>
      <xdr:rowOff>32657</xdr:rowOff>
    </xdr:to>
    <xdr:graphicFrame macro="">
      <xdr:nvGraphicFramePr>
        <xdr:cNvPr id="7" name="Chart 6">
          <a:extLst>
            <a:ext uri="{FF2B5EF4-FFF2-40B4-BE49-F238E27FC236}">
              <a16:creationId xmlns:a16="http://schemas.microsoft.com/office/drawing/2014/main" id="{4E50C2CC-2277-4403-9F3F-8109C0309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191666</xdr:colOff>
      <xdr:row>0</xdr:row>
      <xdr:rowOff>108979</xdr:rowOff>
    </xdr:from>
    <xdr:to>
      <xdr:col>4</xdr:col>
      <xdr:colOff>183257</xdr:colOff>
      <xdr:row>3</xdr:row>
      <xdr:rowOff>135581</xdr:rowOff>
    </xdr:to>
    <xdr:grpSp>
      <xdr:nvGrpSpPr>
        <xdr:cNvPr id="9" name="Group 8">
          <a:extLst>
            <a:ext uri="{FF2B5EF4-FFF2-40B4-BE49-F238E27FC236}">
              <a16:creationId xmlns:a16="http://schemas.microsoft.com/office/drawing/2014/main" id="{500421C8-CF59-26D0-A77D-1197AA7BC954}"/>
            </a:ext>
          </a:extLst>
        </xdr:cNvPr>
        <xdr:cNvGrpSpPr/>
      </xdr:nvGrpSpPr>
      <xdr:grpSpPr>
        <a:xfrm>
          <a:off x="803987" y="108979"/>
          <a:ext cx="1828556" cy="557281"/>
          <a:chOff x="12516188" y="3044161"/>
          <a:chExt cx="1820391" cy="580055"/>
        </a:xfrm>
      </xdr:grpSpPr>
      <xdr:sp macro="" textlink="">
        <xdr:nvSpPr>
          <xdr:cNvPr id="2" name="Rectangle: Rounded Corners 1">
            <a:extLst>
              <a:ext uri="{FF2B5EF4-FFF2-40B4-BE49-F238E27FC236}">
                <a16:creationId xmlns:a16="http://schemas.microsoft.com/office/drawing/2014/main" id="{27AAE56A-DBD0-A4EE-1E9F-B4474A5C011A}"/>
              </a:ext>
            </a:extLst>
          </xdr:cNvPr>
          <xdr:cNvSpPr/>
        </xdr:nvSpPr>
        <xdr:spPr>
          <a:xfrm>
            <a:off x="12516188" y="3044161"/>
            <a:ext cx="1820391" cy="58005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latin typeface="Cambria Math" panose="02040503050406030204" pitchFamily="18" charset="0"/>
                <a:ea typeface="Cambria Math" panose="02040503050406030204" pitchFamily="18" charset="0"/>
              </a:rPr>
              <a:t>Total</a:t>
            </a:r>
            <a:r>
              <a:rPr lang="en-IN" sz="1100">
                <a:solidFill>
                  <a:sysClr val="windowText" lastClr="000000"/>
                </a:solidFill>
              </a:rPr>
              <a:t> </a:t>
            </a:r>
            <a:r>
              <a:rPr lang="en-IN" sz="1200" b="1">
                <a:solidFill>
                  <a:sysClr val="windowText" lastClr="000000"/>
                </a:solidFill>
                <a:latin typeface="Cambria Math" panose="02040503050406030204" pitchFamily="18" charset="0"/>
                <a:ea typeface="Cambria Math" panose="02040503050406030204" pitchFamily="18" charset="0"/>
              </a:rPr>
              <a:t>Revenue</a:t>
            </a:r>
          </a:p>
        </xdr:txBody>
      </xdr:sp>
      <xdr:sp macro="" textlink="">
        <xdr:nvSpPr>
          <xdr:cNvPr id="8" name="TextBox 7">
            <a:extLst>
              <a:ext uri="{FF2B5EF4-FFF2-40B4-BE49-F238E27FC236}">
                <a16:creationId xmlns:a16="http://schemas.microsoft.com/office/drawing/2014/main" id="{AB0C0E67-E877-E5E1-493D-ECD365C79C23}"/>
              </a:ext>
            </a:extLst>
          </xdr:cNvPr>
          <xdr:cNvSpPr txBox="1"/>
        </xdr:nvSpPr>
        <xdr:spPr>
          <a:xfrm>
            <a:off x="13055600" y="3259800"/>
            <a:ext cx="1253525" cy="252265"/>
          </a:xfrm>
          <a:prstGeom prst="rect">
            <a:avLst/>
          </a:prstGeom>
          <a:solidFill>
            <a:schemeClr val="accent4">
              <a:lumMod val="40000"/>
              <a:lumOff val="60000"/>
            </a:schemeClr>
          </a:solidFill>
          <a:ln w="9525" cmpd="sng">
            <a:solidFill>
              <a:schemeClr val="lt1">
                <a:shade val="50000"/>
              </a:schemeClr>
            </a:solidFill>
          </a:ln>
          <a:effectLst>
            <a:softEdge rad="317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Cambria Math" panose="02040503050406030204" pitchFamily="18" charset="0"/>
                <a:ea typeface="Cambria Math" panose="02040503050406030204" pitchFamily="18" charset="0"/>
                <a:cs typeface="+mn-cs"/>
              </a:rPr>
              <a:t>80567.85</a:t>
            </a:r>
            <a:r>
              <a:rPr lang="en-IN" sz="1100" b="1">
                <a:effectLst/>
                <a:latin typeface="Cambria Math" panose="02040503050406030204" pitchFamily="18" charset="0"/>
                <a:ea typeface="Cambria Math" panose="02040503050406030204" pitchFamily="18" charset="0"/>
              </a:rPr>
              <a:t> </a:t>
            </a:r>
            <a:r>
              <a:rPr lang="en-US" sz="1100" b="1">
                <a:latin typeface="Cambria Math" panose="02040503050406030204" pitchFamily="18" charset="0"/>
                <a:ea typeface="Cambria Math" panose="02040503050406030204" pitchFamily="18" charset="0"/>
              </a:rPr>
              <a:t> </a:t>
            </a:r>
          </a:p>
        </xdr:txBody>
      </xdr:sp>
    </xdr:grpSp>
    <xdr:clientData/>
  </xdr:twoCellAnchor>
  <xdr:twoCellAnchor>
    <xdr:from>
      <xdr:col>4</xdr:col>
      <xdr:colOff>354905</xdr:colOff>
      <xdr:row>0</xdr:row>
      <xdr:rowOff>104383</xdr:rowOff>
    </xdr:from>
    <xdr:to>
      <xdr:col>7</xdr:col>
      <xdr:colOff>459287</xdr:colOff>
      <xdr:row>3</xdr:row>
      <xdr:rowOff>104384</xdr:rowOff>
    </xdr:to>
    <xdr:grpSp>
      <xdr:nvGrpSpPr>
        <xdr:cNvPr id="13" name="Group 12">
          <a:extLst>
            <a:ext uri="{FF2B5EF4-FFF2-40B4-BE49-F238E27FC236}">
              <a16:creationId xmlns:a16="http://schemas.microsoft.com/office/drawing/2014/main" id="{57656DDD-2180-9593-68E8-D94EFCAC873A}"/>
            </a:ext>
          </a:extLst>
        </xdr:cNvPr>
        <xdr:cNvGrpSpPr/>
      </xdr:nvGrpSpPr>
      <xdr:grpSpPr>
        <a:xfrm>
          <a:off x="2804191" y="104383"/>
          <a:ext cx="1941346" cy="530680"/>
          <a:chOff x="13736878" y="1524000"/>
          <a:chExt cx="2359068" cy="542795"/>
        </a:xfrm>
      </xdr:grpSpPr>
      <xdr:sp macro="" textlink="">
        <xdr:nvSpPr>
          <xdr:cNvPr id="10" name="Rectangle: Rounded Corners 9">
            <a:extLst>
              <a:ext uri="{FF2B5EF4-FFF2-40B4-BE49-F238E27FC236}">
                <a16:creationId xmlns:a16="http://schemas.microsoft.com/office/drawing/2014/main" id="{E57C6F49-1496-A64D-A8E0-E7F417146271}"/>
              </a:ext>
            </a:extLst>
          </xdr:cNvPr>
          <xdr:cNvSpPr/>
        </xdr:nvSpPr>
        <xdr:spPr>
          <a:xfrm>
            <a:off x="13736878" y="1524000"/>
            <a:ext cx="2359068" cy="54279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latin typeface="Cambria Math" panose="02040503050406030204" pitchFamily="18" charset="0"/>
                <a:ea typeface="Cambria Math" panose="02040503050406030204" pitchFamily="18" charset="0"/>
              </a:rPr>
              <a:t>Total Units Sold</a:t>
            </a:r>
          </a:p>
        </xdr:txBody>
      </xdr:sp>
      <xdr:sp macro="" textlink="">
        <xdr:nvSpPr>
          <xdr:cNvPr id="12" name="TextBox 11">
            <a:extLst>
              <a:ext uri="{FF2B5EF4-FFF2-40B4-BE49-F238E27FC236}">
                <a16:creationId xmlns:a16="http://schemas.microsoft.com/office/drawing/2014/main" id="{28B6DCCE-E130-9AAF-DA36-7D0CBD985EF8}"/>
              </a:ext>
            </a:extLst>
          </xdr:cNvPr>
          <xdr:cNvSpPr txBox="1"/>
        </xdr:nvSpPr>
        <xdr:spPr>
          <a:xfrm>
            <a:off x="13893453" y="1740969"/>
            <a:ext cx="2077232" cy="248154"/>
          </a:xfrm>
          <a:prstGeom prst="rect">
            <a:avLst/>
          </a:prstGeom>
          <a:solidFill>
            <a:schemeClr val="accent4">
              <a:lumMod val="40000"/>
              <a:lumOff val="60000"/>
            </a:schemeClr>
          </a:solidFill>
          <a:ln w="9525" cmpd="sng">
            <a:solidFill>
              <a:schemeClr val="lt1">
                <a:shade val="50000"/>
              </a:schemeClr>
            </a:solidFill>
          </a:ln>
          <a:effectLst>
            <a:softEdge rad="317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sz="1100" b="1">
                <a:solidFill>
                  <a:schemeClr val="tx1"/>
                </a:solidFill>
                <a:latin typeface="Cambria Math" panose="02040503050406030204" pitchFamily="18" charset="0"/>
                <a:ea typeface="Cambria Math" panose="02040503050406030204" pitchFamily="18" charset="0"/>
              </a:rPr>
              <a:t>518 </a:t>
            </a:r>
          </a:p>
        </xdr:txBody>
      </xdr:sp>
    </xdr:grpSp>
    <xdr:clientData/>
  </xdr:twoCellAnchor>
  <xdr:twoCellAnchor>
    <xdr:from>
      <xdr:col>8</xdr:col>
      <xdr:colOff>10439</xdr:colOff>
      <xdr:row>0</xdr:row>
      <xdr:rowOff>93948</xdr:rowOff>
    </xdr:from>
    <xdr:to>
      <xdr:col>11</xdr:col>
      <xdr:colOff>177452</xdr:colOff>
      <xdr:row>3</xdr:row>
      <xdr:rowOff>104385</xdr:rowOff>
    </xdr:to>
    <xdr:grpSp>
      <xdr:nvGrpSpPr>
        <xdr:cNvPr id="17" name="Group 16">
          <a:extLst>
            <a:ext uri="{FF2B5EF4-FFF2-40B4-BE49-F238E27FC236}">
              <a16:creationId xmlns:a16="http://schemas.microsoft.com/office/drawing/2014/main" id="{DE2240D5-8E70-1488-C584-FEF04CA439D7}"/>
            </a:ext>
          </a:extLst>
        </xdr:cNvPr>
        <xdr:cNvGrpSpPr/>
      </xdr:nvGrpSpPr>
      <xdr:grpSpPr>
        <a:xfrm>
          <a:off x="4909010" y="93948"/>
          <a:ext cx="2003978" cy="541116"/>
          <a:chOff x="14310987" y="1544878"/>
          <a:chExt cx="2045918" cy="594985"/>
        </a:xfrm>
      </xdr:grpSpPr>
      <xdr:sp macro="" textlink="">
        <xdr:nvSpPr>
          <xdr:cNvPr id="14" name="Rectangle: Rounded Corners 13">
            <a:extLst>
              <a:ext uri="{FF2B5EF4-FFF2-40B4-BE49-F238E27FC236}">
                <a16:creationId xmlns:a16="http://schemas.microsoft.com/office/drawing/2014/main" id="{FB904F87-4A74-A462-C9CD-FFEBDA49FA6F}"/>
              </a:ext>
            </a:extLst>
          </xdr:cNvPr>
          <xdr:cNvSpPr/>
        </xdr:nvSpPr>
        <xdr:spPr>
          <a:xfrm>
            <a:off x="14310987" y="1544878"/>
            <a:ext cx="2045918" cy="59498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latin typeface="Cambria Math" panose="02040503050406030204" pitchFamily="18" charset="0"/>
                <a:ea typeface="Cambria Math" panose="02040503050406030204" pitchFamily="18" charset="0"/>
              </a:rPr>
              <a:t>Total Orders</a:t>
            </a:r>
          </a:p>
        </xdr:txBody>
      </xdr:sp>
      <xdr:sp macro="" textlink="$Z$19">
        <xdr:nvSpPr>
          <xdr:cNvPr id="16" name="TextBox 15">
            <a:extLst>
              <a:ext uri="{FF2B5EF4-FFF2-40B4-BE49-F238E27FC236}">
                <a16:creationId xmlns:a16="http://schemas.microsoft.com/office/drawing/2014/main" id="{4A01B3E1-BEC6-A834-EB41-5AB4F00C89B4}"/>
              </a:ext>
            </a:extLst>
          </xdr:cNvPr>
          <xdr:cNvSpPr txBox="1"/>
        </xdr:nvSpPr>
        <xdr:spPr>
          <a:xfrm>
            <a:off x="14592821" y="1774520"/>
            <a:ext cx="1492685" cy="354904"/>
          </a:xfrm>
          <a:prstGeom prst="rect">
            <a:avLst/>
          </a:prstGeom>
          <a:solidFill>
            <a:schemeClr val="accent4">
              <a:lumMod val="40000"/>
              <a:lumOff val="60000"/>
              <a:alpha val="96000"/>
            </a:schemeClr>
          </a:solidFill>
          <a:ln w="9525" cmpd="sng">
            <a:solidFill>
              <a:schemeClr val="tx1"/>
            </a:solidFill>
          </a:ln>
          <a:effectLst>
            <a:softEdge rad="317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8F810C-2DD0-4D3F-A429-CEB236AB05FC}" type="TxLink">
              <a:rPr lang="en-US" sz="1100" b="1" i="0" u="none" strike="noStrike">
                <a:solidFill>
                  <a:srgbClr val="000000"/>
                </a:solidFill>
                <a:latin typeface="Cambria Math" panose="02040503050406030204" pitchFamily="18" charset="0"/>
                <a:ea typeface="Cambria Math" panose="02040503050406030204" pitchFamily="18" charset="0"/>
                <a:cs typeface="Calibri"/>
              </a:rPr>
              <a:pPr algn="ctr"/>
              <a:t>240</a:t>
            </a:fld>
            <a:endParaRPr lang="en-IN" sz="1100" b="1">
              <a:latin typeface="Cambria Math" panose="02040503050406030204" pitchFamily="18" charset="0"/>
              <a:ea typeface="Cambria Math" panose="02040503050406030204" pitchFamily="18" charset="0"/>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ABOYINI VISHNU" refreshedDate="46089.657660069446" createdVersion="8" refreshedVersion="8" minRefreshableVersion="3" recordCount="240" xr:uid="{D8C43B7D-906B-40B9-8902-6459F68B7A69}">
  <cacheSource type="worksheet">
    <worksheetSource name="Table1"/>
  </cacheSource>
  <cacheFields count="12">
    <cacheField name="Transaction ID" numFmtId="1">
      <sharedItems containsSemiMixedTypes="0" containsString="0" containsNumber="1" containsInteger="1" minValue="10001" maxValue="10240" count="24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sharedItems>
    </cacheField>
    <cacheField name="Date" numFmtId="14">
      <sharedItems containsSemiMixedTypes="0" containsNonDate="0" containsDate="1" containsString="0" minDate="2024-01-01T00:00:00" maxDate="2024-08-28T00:00:00"/>
    </cacheField>
    <cacheField name="Product Category" numFmtId="0">
      <sharedItems count="6">
        <s v="Electronics"/>
        <s v="Home Appliances"/>
        <s v="Clothing"/>
        <s v="Books"/>
        <s v="Beauty Products"/>
        <s v="Sports"/>
      </sharedItems>
    </cacheField>
    <cacheField name="Product Name" numFmtId="0">
      <sharedItems count="232">
        <s v="iPhone 14 Pro"/>
        <s v="Dyson V11 Vacuum"/>
        <s v="Levi's 501 Jeans"/>
        <s v="The Da Vinci Code"/>
        <s v="Neutrogena Skincare Set"/>
        <s v="Wilson Evolution Basketball"/>
        <s v="MacBook Pro 16-inch"/>
        <s v="Blueair Classic 480i"/>
        <s v="Nike Air Force 1"/>
        <s v="Dune by Frank Herbert"/>
        <s v="Chanel No. 5 Perfume"/>
        <s v="Babolat Pure Drive Tennis Racket"/>
        <s v="Samsung Galaxy Tab S8"/>
        <s v="Keurig K-Elite Coffee Maker"/>
        <s v="North Face Down Jacket"/>
        <s v="Salt, Fat, Acid, Heat by Samin Nosrat"/>
        <s v="Dyson Supersonic Hair Dryer"/>
        <s v="Manduka PRO Yoga Mat"/>
        <s v="Garmin Forerunner 945"/>
        <s v="Ninja Professional Blender"/>
        <s v="Zara Summer Dress"/>
        <s v="Gone Girl by Gillian Flynn"/>
        <s v="Olay Regenerist Face Cream"/>
        <s v="Adidas FIFA World Cup Football"/>
        <s v="Bose QuietComfort 35 Headphones"/>
        <s v="Panasonic NN-SN966S Microwave"/>
        <s v="Adidas Ultraboost Shoes"/>
        <s v="Pride and Prejudice by Jane Austen"/>
        <s v="MAC Ruby Woo Lipstick"/>
        <s v="Nike Air Zoom Pegasus 37"/>
        <s v="Sony WH-1000XM4 Headphones"/>
        <s v="Instant Pot Duo"/>
        <s v="Under Armour HeatGear T-Shirt"/>
        <s v="1984 by George Orwell"/>
        <s v="L'Oreal Revitalift Serum"/>
        <s v="Peloton Bike"/>
        <s v="Apple Watch Series 8"/>
        <s v="Roomba i7+"/>
        <s v="Columbia Fleece Jacket"/>
        <s v="Harry Potter and the Sorcerer's Stone"/>
        <s v="Estee Lauder Advanced Night Repair"/>
        <s v="Fitbit Charge 5"/>
        <s v="GoPro HERO10 Black"/>
        <s v="Nespresso VertuoPlus"/>
        <s v="Patagonia Better Sweater"/>
        <s v="Becoming by Michelle Obama"/>
        <s v="Clinique Moisture Surge"/>
        <s v="Yeti Rambler Tumbler"/>
        <s v="Kindle Paperwhite"/>
        <s v="Breville Smart Oven"/>
        <s v="Ray-Ban Aviator Sunglasses"/>
        <s v="The Silent Patient by Alex Michaelides"/>
        <s v="Shiseido Ultimate Sun Protector"/>
        <s v="Titleist Pro V1 Golf Balls"/>
        <s v="Anker PowerCore Portable Charger"/>
        <s v="KitchenAid Artisan Stand Mixer"/>
        <s v="Calvin Klein Boxer Briefs"/>
        <s v="Educated by Tara Westover"/>
        <s v="Anastasia Beverly Hills Brow Wiz"/>
        <s v="Hyperice Hypervolt Massager"/>
        <s v="Nintendo Switch"/>
        <s v="Philips Airfryer XXL"/>
        <s v="Hanes ComfortSoft T-Shirt"/>
        <s v="Where the Crawdads Sing by Delia Owens"/>
        <s v="Lancome La Vie Est Belle"/>
        <s v="Garmin Edge 530"/>
        <s v="Samsung QLED 4K TV"/>
        <s v="Eufy RoboVac 11S"/>
        <s v="Puma Suede Classic Sneakers"/>
        <s v="The Great Gatsby by F. Scott Fitzgerald"/>
        <s v="Drunk Elephant C-Firma Day Serum"/>
        <s v="Nike Metcon 6"/>
        <s v="HP Spectre x360 Laptop"/>
        <s v="De'Longhi Magnifica Espresso Machine"/>
        <s v="Tommy Hilfiger Polo Shirt"/>
        <s v="To Kill a Mockingbird by Harper Lee"/>
        <s v="Glossier Boy Brow"/>
        <s v="Rogue Fitness Kettlebell"/>
        <s v="Apple AirPods Pro"/>
        <s v="Dyson Pure Cool Link"/>
        <s v="Levi's Trucker Jacket"/>
        <s v="The Hobbit by J.R.R. Tolkien"/>
        <s v="Charlotte Tilbury Magic Cream"/>
        <s v="Spalding NBA Street Basketball"/>
        <s v="Ring Video Doorbell"/>
        <s v="LG OLED TV"/>
        <s v="Uniqlo Ultra Light Down Jacket"/>
        <s v="The Catcher in the Rye by J.D. Salinger"/>
        <s v="Sunday Riley Good Genes"/>
        <s v="On Running Cloud Shoes"/>
        <s v="Logitech MX Master 3 Mouse"/>
        <s v="Instant Pot Duo Crisp"/>
        <s v="Adidas Originals Superstar Sneakers"/>
        <s v="The Alchemist by Paulo Coelho"/>
        <s v="Tatcha The Water Cream"/>
        <s v="Garmin Fenix 6X Pro"/>
        <s v="Bose SoundLink Revolve+ Speaker"/>
        <s v="Vitamix Explorian Blender"/>
        <s v="Gap Essential Crewneck T-Shirt"/>
        <s v="The Power of Now by Eckhart Tolle"/>
        <s v="Kiehl's Midnight Recovery Concentrate"/>
        <s v="Under Armour HOVR Sonic 4 Shoes"/>
        <s v="Canon EOS R5 Camera"/>
        <s v="Shark IQ Robot Vacuum"/>
        <s v="H&amp;M Slim Fit Jeans"/>
        <s v="The Girl on the Train by Paula Hawkins"/>
        <s v="The Ordinary Niacinamide Serum"/>
        <s v="Bowflex SelectTech 552 Dumbbells"/>
        <s v="Google Nest Hub Max"/>
        <s v="Cuisinart Griddler Deluxe"/>
        <s v="Old Navy Relaxed-Fit T-Shirt"/>
        <s v="Sapiens: A Brief History of Humankind by Yuval Noah Harari"/>
        <s v="Biore UV Aqua Rich Watery Essence Sunscreen"/>
        <s v="Fitbit Versa 3"/>
        <s v="Amazon Echo Show 10"/>
        <s v="Breville Smart Grill"/>
        <s v="Gap High Rise Skinny Jeans"/>
        <s v="Atomic Habits by James Clear"/>
        <s v="CeraVe Hydrating Facial Cleanser"/>
        <s v="YETI Hopper Flip Portable Cooler"/>
        <s v="Apple iPad Air"/>
        <s v="Hamilton Beach FlexBrew Coffee Maker"/>
        <s v="Forever 21 Graphic Tee"/>
        <s v="The Subtle Art of Not Giving a F*ck by Mark Manson"/>
        <s v="NARS Radiant Creamy Concealer"/>
        <s v="Yeti Roadie 24 Cooler"/>
        <s v="Sony PlayStation 5"/>
        <s v="Lululemon Align Leggings"/>
        <s v="The Four Agreements by Don Miguel Ruiz"/>
        <s v="Fenty Beauty Killawatt Highlighter"/>
        <s v="Hydro Flask Wide Mouth Water Bottle"/>
        <s v="Microsoft Surface Laptop 4"/>
        <s v="Keurig K-Mini Coffee Maker"/>
        <s v="Gap Crewneck Sweatshirt"/>
        <s v="Think and Grow Rich by Napoleon Hill"/>
        <s v="The Ordinary Hyaluronic Acid Serum"/>
        <s v="Fitbit Inspire 2"/>
        <s v="Samsung Odyssey G9 Gaming Monitor"/>
        <s v="Instant Pot Ultra"/>
        <s v="Adidas Essential Track Pants"/>
        <s v="The Power of Habit by Charles Duhigg"/>
        <s v="Clinique Dramatically Different Moisturizing Lotion"/>
        <s v="YETI Tundra 45 Cooler"/>
        <s v="Apple AirPods Max"/>
        <s v="Cuisinart Coffee Center"/>
        <s v="Levi's Sherpa Trucker Jacket"/>
        <s v="The Outsiders by S.E. Hinton"/>
        <s v="Laneige Water Sleeping Mask"/>
        <s v="Bose SoundSport Wireless Earbuds"/>
        <s v="Ninja Foodi Pressure Cooker"/>
        <s v="Nike Sportswear Club Fleece Hoodie"/>
        <s v="The Night Circus by Erin Morgenstern"/>
        <s v="GlamGlow Supermud Clearing Treatment"/>
        <s v="Garmin Forerunner 245"/>
        <s v="Google Pixel 6 Pro"/>
        <s v="Breville Nespresso Creatista Plus"/>
        <s v="Under Armour Tech 2.0 T-Shirt"/>
        <s v="The Art of War by Sun Tzu"/>
        <s v="Youth to the People Superfood Antioxidant Cleanser"/>
        <s v="TriggerPoint GRID Foam Roller"/>
        <s v="Apple MacBook Air"/>
        <s v="Cuisinart Custom 14-Cup Food Processor"/>
        <s v="Adidas 3-Stripes Shorts"/>
        <s v="The Hunger Games by Suzanne Collins"/>
        <s v="Neutrogena Hydro Boost Water Gel"/>
        <s v="Yeti Rambler Bottle"/>
        <s v="Samsung Odyssey G7 Gaming Monitor"/>
        <s v="Instant Pot Duo Evo Plus"/>
        <s v="Nike Tempo Running Shorts"/>
        <s v="The Girl with the Dragon Tattoo by Stieg Larsson"/>
        <s v="Paula's Choice Skin Perfecting 2% BHA Liquid Exfoliant"/>
        <s v="Bowflex SelectTech 1090 Adjustable Dumbbells"/>
        <s v="Amazon Fire TV Stick 4K"/>
        <s v="Crock-Pot 6-Quart Slow Cooker"/>
        <s v="Uniqlo Airism Mesh Boxer Briefs"/>
        <s v="The Sun Also Rises by Ernest Hemingway"/>
        <s v="First Aid Beauty Ultra Repair Cream"/>
        <s v="Oakley Holbrook Sunglasses"/>
        <s v="Google Pixelbook Go"/>
        <s v="Dyson V8 Absolute"/>
        <s v="Levi's 511 Slim Fit Jeans"/>
        <s v="The Martian by Andy Weir"/>
        <s v="La Mer CrÃ¨me de la Mer Moisturizer"/>
        <s v="Polar Vantage V2"/>
        <s v="Sonos Beam Soundbar"/>
        <s v="Anova Precision Cooker"/>
        <s v="Nike Dri-FIT Training Shorts"/>
        <s v="Glossier Cloud Paint"/>
        <s v="TRX All-in-One Suspension Training System"/>
        <s v="Logitech G Pro X Wireless Gaming Headset"/>
        <s v="Breville Smart Coffee Grinder Pro"/>
        <s v="Adidas Ultraboost Running Shoes"/>
        <s v="The Road by Cormac McCarthy"/>
        <s v="Tom Ford Black Orchid Perfume"/>
        <s v="GoPro HERO9 Black"/>
        <s v="Apple TV 4K"/>
        <s v="Instant Pot Duo Nova"/>
        <s v="Gap 1969 Original Fit Jeans"/>
        <s v="The Goldfinch by Donna Tartt"/>
        <s v="Dr. Jart+ Cicapair Tiger Grass Color Correcting Treatment"/>
        <s v="Yeti Tundra Haul Portable Wheeled Cooler"/>
        <s v="Samsung Galaxy Watch 4"/>
        <s v="KitchenAid Stand Mixer"/>
        <s v="Lululemon Wunder Under High-Rise Leggings"/>
        <s v="The Great Alone by Kristin Hannah"/>
        <s v="Caudalie Vinoperfect Radiance Serum"/>
        <s v="Bose SoundLink Color Bluetooth Speaker II"/>
        <s v="Canon EOS Rebel T7i DSLR Camera"/>
        <s v="Uniqlo Airism Seamless Boxer Briefs"/>
        <s v="L'Occitane Shea Butter Hand Cream"/>
        <s v="YETI Tundra 65 Cooler"/>
        <s v="Apple MacBook Pro 16-inch"/>
        <s v="iRobot Braava Jet M6"/>
        <s v="Champion Reverse Weave Hoodie"/>
        <s v="The Nightingale by Kristin Hannah"/>
        <s v="Tarte Shape Tape Concealer"/>
        <s v="Amazon Echo Dot (4th Gen)"/>
        <s v="Philips Sonicare DiamondClean Toothbrush"/>
        <s v="Old Navy Mid-Rise Rockstar Super Skinny Jeans"/>
        <s v="The Ordinary Caffeine Solution 5% + EGCG"/>
        <s v="Fitbit Luxe"/>
        <s v="Google Nest Wifi Router"/>
        <s v="Anova Precision Oven"/>
        <s v="Adidas Originals Trefoil Hoodie"/>
        <s v="Fresh Sugar Lip Treatment"/>
        <s v="Hydro Flask Standard Mouth Water Bottle"/>
        <s v="Bose QuietComfort 35 II Wireless Headphones"/>
        <s v="Nespresso Vertuo Next Coffee and Espresso Maker"/>
        <s v="Nike Air Force 1 Sneakers"/>
        <s v="The Handmaid's Tale by Margaret Atwood"/>
        <s v="Sunday Riley Luna Sleeping Night Oil"/>
        <s v="Yeti Rambler 20 oz Tumbler"/>
      </sharedItems>
    </cacheField>
    <cacheField name="Units Sold" numFmtId="1">
      <sharedItems containsSemiMixedTypes="0" containsString="0" containsNumber="1" containsInteger="1" minValue="1" maxValue="10"/>
    </cacheField>
    <cacheField name="Unit Price" numFmtId="164">
      <sharedItems containsSemiMixedTypes="0" containsString="0" containsNumber="1" minValue="6.5" maxValue="3899.99"/>
    </cacheField>
    <cacheField name="Total Revenue" numFmtId="164">
      <sharedItems containsSemiMixedTypes="0" containsString="0" containsNumber="1" minValue="6.5" maxValue="3899.99"/>
    </cacheField>
    <cacheField name="Region" numFmtId="0">
      <sharedItems count="3">
        <s v="North America"/>
        <s v="Europe"/>
        <s v="Asia"/>
      </sharedItems>
    </cacheField>
    <cacheField name="Payment Method" numFmtId="0">
      <sharedItems count="3">
        <s v="Credit Card"/>
        <s v="PayPal"/>
        <s v="Debit Card"/>
      </sharedItems>
    </cacheField>
    <cacheField name="Month" numFmtId="0">
      <sharedItems count="8">
        <s v="Jan"/>
        <s v="Feb"/>
        <s v="Mar"/>
        <s v="Apr"/>
        <s v="May"/>
        <s v="Jun"/>
        <s v="Jul"/>
        <s v="Aug"/>
      </sharedItems>
    </cacheField>
    <cacheField name="YEAR" numFmtId="0">
      <sharedItems containsSemiMixedTypes="0" containsString="0" containsNumber="1" containsInteger="1" minValue="2024" maxValue="2024" count="1">
        <n v="2024"/>
      </sharedItems>
    </cacheField>
    <cacheField name="MONTH Numner" numFmtId="1">
      <sharedItems containsSemiMixedTypes="0" containsString="0" containsNumber="1" containsInteger="1" minValue="1" maxValue="8"/>
    </cacheField>
  </cacheFields>
  <extLst>
    <ext xmlns:x14="http://schemas.microsoft.com/office/spreadsheetml/2009/9/main" uri="{725AE2AE-9491-48be-B2B4-4EB974FC3084}">
      <x14:pivotCacheDefinition pivotCacheId="997547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d v="2024-01-01T00:00:00"/>
    <x v="0"/>
    <x v="0"/>
    <n v="2"/>
    <n v="999.99"/>
    <n v="1999.98"/>
    <x v="0"/>
    <x v="0"/>
    <x v="0"/>
    <x v="0"/>
    <n v="1"/>
  </r>
  <r>
    <x v="1"/>
    <d v="2024-01-02T00:00:00"/>
    <x v="1"/>
    <x v="1"/>
    <n v="1"/>
    <n v="499.99"/>
    <n v="499.99"/>
    <x v="1"/>
    <x v="1"/>
    <x v="0"/>
    <x v="0"/>
    <n v="1"/>
  </r>
  <r>
    <x v="2"/>
    <d v="2024-01-03T00:00:00"/>
    <x v="2"/>
    <x v="2"/>
    <n v="3"/>
    <n v="69.989999999999995"/>
    <n v="209.97"/>
    <x v="2"/>
    <x v="2"/>
    <x v="0"/>
    <x v="0"/>
    <n v="1"/>
  </r>
  <r>
    <x v="3"/>
    <d v="2024-01-04T00:00:00"/>
    <x v="3"/>
    <x v="3"/>
    <n v="4"/>
    <n v="15.99"/>
    <n v="63.96"/>
    <x v="0"/>
    <x v="0"/>
    <x v="0"/>
    <x v="0"/>
    <n v="1"/>
  </r>
  <r>
    <x v="4"/>
    <d v="2024-01-05T00:00:00"/>
    <x v="4"/>
    <x v="4"/>
    <n v="1"/>
    <n v="89.99"/>
    <n v="89.99"/>
    <x v="1"/>
    <x v="1"/>
    <x v="0"/>
    <x v="0"/>
    <n v="1"/>
  </r>
  <r>
    <x v="5"/>
    <d v="2024-01-06T00:00:00"/>
    <x v="5"/>
    <x v="5"/>
    <n v="5"/>
    <n v="29.99"/>
    <n v="149.94999999999999"/>
    <x v="2"/>
    <x v="0"/>
    <x v="0"/>
    <x v="0"/>
    <n v="1"/>
  </r>
  <r>
    <x v="6"/>
    <d v="2024-01-07T00:00:00"/>
    <x v="0"/>
    <x v="6"/>
    <n v="1"/>
    <n v="2499.9899999999998"/>
    <n v="2499.9899999999998"/>
    <x v="0"/>
    <x v="0"/>
    <x v="0"/>
    <x v="0"/>
    <n v="1"/>
  </r>
  <r>
    <x v="7"/>
    <d v="2024-01-08T00:00:00"/>
    <x v="1"/>
    <x v="7"/>
    <n v="2"/>
    <n v="599.99"/>
    <n v="1199.98"/>
    <x v="1"/>
    <x v="1"/>
    <x v="0"/>
    <x v="0"/>
    <n v="1"/>
  </r>
  <r>
    <x v="8"/>
    <d v="2024-01-09T00:00:00"/>
    <x v="2"/>
    <x v="8"/>
    <n v="6"/>
    <n v="89.99"/>
    <n v="539.94000000000005"/>
    <x v="2"/>
    <x v="2"/>
    <x v="0"/>
    <x v="0"/>
    <n v="1"/>
  </r>
  <r>
    <x v="9"/>
    <d v="2024-01-10T00:00:00"/>
    <x v="3"/>
    <x v="9"/>
    <n v="2"/>
    <n v="25.99"/>
    <n v="51.98"/>
    <x v="0"/>
    <x v="0"/>
    <x v="0"/>
    <x v="0"/>
    <n v="1"/>
  </r>
  <r>
    <x v="10"/>
    <d v="2024-01-11T00:00:00"/>
    <x v="4"/>
    <x v="10"/>
    <n v="1"/>
    <n v="129.99"/>
    <n v="129.99"/>
    <x v="1"/>
    <x v="1"/>
    <x v="0"/>
    <x v="0"/>
    <n v="1"/>
  </r>
  <r>
    <x v="11"/>
    <d v="2024-01-12T00:00:00"/>
    <x v="5"/>
    <x v="11"/>
    <n v="3"/>
    <n v="199.99"/>
    <n v="599.97"/>
    <x v="2"/>
    <x v="0"/>
    <x v="0"/>
    <x v="0"/>
    <n v="1"/>
  </r>
  <r>
    <x v="12"/>
    <d v="2024-01-13T00:00:00"/>
    <x v="0"/>
    <x v="12"/>
    <n v="2"/>
    <n v="749.99"/>
    <n v="1499.98"/>
    <x v="0"/>
    <x v="0"/>
    <x v="0"/>
    <x v="0"/>
    <n v="1"/>
  </r>
  <r>
    <x v="13"/>
    <d v="2024-01-14T00:00:00"/>
    <x v="1"/>
    <x v="13"/>
    <n v="1"/>
    <n v="189.99"/>
    <n v="189.99"/>
    <x v="1"/>
    <x v="1"/>
    <x v="0"/>
    <x v="0"/>
    <n v="1"/>
  </r>
  <r>
    <x v="14"/>
    <d v="2024-01-15T00:00:00"/>
    <x v="2"/>
    <x v="14"/>
    <n v="2"/>
    <n v="249.99"/>
    <n v="499.98"/>
    <x v="2"/>
    <x v="2"/>
    <x v="0"/>
    <x v="0"/>
    <n v="1"/>
  </r>
  <r>
    <x v="15"/>
    <d v="2024-01-16T00:00:00"/>
    <x v="3"/>
    <x v="15"/>
    <n v="3"/>
    <n v="35.99"/>
    <n v="107.97"/>
    <x v="0"/>
    <x v="0"/>
    <x v="0"/>
    <x v="0"/>
    <n v="1"/>
  </r>
  <r>
    <x v="16"/>
    <d v="2024-01-17T00:00:00"/>
    <x v="4"/>
    <x v="16"/>
    <n v="1"/>
    <n v="399.99"/>
    <n v="399.99"/>
    <x v="1"/>
    <x v="1"/>
    <x v="0"/>
    <x v="0"/>
    <n v="1"/>
  </r>
  <r>
    <x v="17"/>
    <d v="2024-01-18T00:00:00"/>
    <x v="5"/>
    <x v="17"/>
    <n v="4"/>
    <n v="119.99"/>
    <n v="479.96"/>
    <x v="2"/>
    <x v="0"/>
    <x v="0"/>
    <x v="0"/>
    <n v="1"/>
  </r>
  <r>
    <x v="18"/>
    <d v="2024-01-19T00:00:00"/>
    <x v="0"/>
    <x v="18"/>
    <n v="2"/>
    <n v="499.99"/>
    <n v="999.98"/>
    <x v="0"/>
    <x v="0"/>
    <x v="0"/>
    <x v="0"/>
    <n v="1"/>
  </r>
  <r>
    <x v="19"/>
    <d v="2024-01-20T00:00:00"/>
    <x v="1"/>
    <x v="19"/>
    <n v="1"/>
    <n v="99.99"/>
    <n v="99.99"/>
    <x v="1"/>
    <x v="1"/>
    <x v="0"/>
    <x v="0"/>
    <n v="1"/>
  </r>
  <r>
    <x v="20"/>
    <d v="2024-01-21T00:00:00"/>
    <x v="2"/>
    <x v="20"/>
    <n v="3"/>
    <n v="59.99"/>
    <n v="179.97"/>
    <x v="2"/>
    <x v="2"/>
    <x v="0"/>
    <x v="0"/>
    <n v="1"/>
  </r>
  <r>
    <x v="21"/>
    <d v="2024-01-22T00:00:00"/>
    <x v="3"/>
    <x v="21"/>
    <n v="2"/>
    <n v="22.99"/>
    <n v="45.98"/>
    <x v="0"/>
    <x v="0"/>
    <x v="0"/>
    <x v="0"/>
    <n v="1"/>
  </r>
  <r>
    <x v="22"/>
    <d v="2024-01-23T00:00:00"/>
    <x v="4"/>
    <x v="22"/>
    <n v="1"/>
    <n v="49.99"/>
    <n v="49.99"/>
    <x v="1"/>
    <x v="1"/>
    <x v="0"/>
    <x v="0"/>
    <n v="1"/>
  </r>
  <r>
    <x v="23"/>
    <d v="2024-01-24T00:00:00"/>
    <x v="5"/>
    <x v="23"/>
    <n v="3"/>
    <n v="29.99"/>
    <n v="89.97"/>
    <x v="2"/>
    <x v="0"/>
    <x v="0"/>
    <x v="0"/>
    <n v="1"/>
  </r>
  <r>
    <x v="24"/>
    <d v="2024-01-25T00:00:00"/>
    <x v="0"/>
    <x v="24"/>
    <n v="1"/>
    <n v="299.99"/>
    <n v="299.99"/>
    <x v="0"/>
    <x v="0"/>
    <x v="0"/>
    <x v="0"/>
    <n v="1"/>
  </r>
  <r>
    <x v="25"/>
    <d v="2024-01-26T00:00:00"/>
    <x v="1"/>
    <x v="25"/>
    <n v="1"/>
    <n v="179.99"/>
    <n v="179.99"/>
    <x v="1"/>
    <x v="1"/>
    <x v="0"/>
    <x v="0"/>
    <n v="1"/>
  </r>
  <r>
    <x v="26"/>
    <d v="2024-01-27T00:00:00"/>
    <x v="2"/>
    <x v="26"/>
    <n v="2"/>
    <n v="179.99"/>
    <n v="359.98"/>
    <x v="2"/>
    <x v="2"/>
    <x v="0"/>
    <x v="0"/>
    <n v="1"/>
  </r>
  <r>
    <x v="27"/>
    <d v="2024-01-28T00:00:00"/>
    <x v="3"/>
    <x v="27"/>
    <n v="3"/>
    <n v="12.99"/>
    <n v="38.97"/>
    <x v="0"/>
    <x v="0"/>
    <x v="0"/>
    <x v="0"/>
    <n v="1"/>
  </r>
  <r>
    <x v="28"/>
    <d v="2024-01-29T00:00:00"/>
    <x v="4"/>
    <x v="28"/>
    <n v="1"/>
    <n v="29.99"/>
    <n v="29.99"/>
    <x v="1"/>
    <x v="1"/>
    <x v="0"/>
    <x v="0"/>
    <n v="1"/>
  </r>
  <r>
    <x v="29"/>
    <d v="2024-01-30T00:00:00"/>
    <x v="5"/>
    <x v="29"/>
    <n v="2"/>
    <n v="129.99"/>
    <n v="259.98"/>
    <x v="2"/>
    <x v="0"/>
    <x v="0"/>
    <x v="0"/>
    <n v="1"/>
  </r>
  <r>
    <x v="30"/>
    <d v="2024-01-31T00:00:00"/>
    <x v="0"/>
    <x v="30"/>
    <n v="2"/>
    <n v="349.99"/>
    <n v="699.98"/>
    <x v="0"/>
    <x v="0"/>
    <x v="0"/>
    <x v="0"/>
    <n v="1"/>
  </r>
  <r>
    <x v="31"/>
    <d v="2024-02-01T00:00:00"/>
    <x v="1"/>
    <x v="31"/>
    <n v="3"/>
    <n v="89.99"/>
    <n v="269.97000000000003"/>
    <x v="1"/>
    <x v="1"/>
    <x v="1"/>
    <x v="0"/>
    <n v="2"/>
  </r>
  <r>
    <x v="32"/>
    <d v="2024-02-02T00:00:00"/>
    <x v="2"/>
    <x v="32"/>
    <n v="5"/>
    <n v="29.99"/>
    <n v="149.94999999999999"/>
    <x v="2"/>
    <x v="2"/>
    <x v="1"/>
    <x v="0"/>
    <n v="2"/>
  </r>
  <r>
    <x v="33"/>
    <d v="2024-02-03T00:00:00"/>
    <x v="3"/>
    <x v="33"/>
    <n v="4"/>
    <n v="19.989999999999998"/>
    <n v="79.959999999999994"/>
    <x v="0"/>
    <x v="0"/>
    <x v="1"/>
    <x v="0"/>
    <n v="2"/>
  </r>
  <r>
    <x v="34"/>
    <d v="2024-02-04T00:00:00"/>
    <x v="4"/>
    <x v="34"/>
    <n v="2"/>
    <n v="39.99"/>
    <n v="79.98"/>
    <x v="1"/>
    <x v="1"/>
    <x v="1"/>
    <x v="0"/>
    <n v="2"/>
  </r>
  <r>
    <x v="35"/>
    <d v="2024-02-05T00:00:00"/>
    <x v="5"/>
    <x v="35"/>
    <n v="1"/>
    <n v="1895"/>
    <n v="1895"/>
    <x v="2"/>
    <x v="0"/>
    <x v="1"/>
    <x v="0"/>
    <n v="2"/>
  </r>
  <r>
    <x v="36"/>
    <d v="2024-02-06T00:00:00"/>
    <x v="0"/>
    <x v="36"/>
    <n v="3"/>
    <n v="399.99"/>
    <n v="1199.97"/>
    <x v="0"/>
    <x v="0"/>
    <x v="1"/>
    <x v="0"/>
    <n v="2"/>
  </r>
  <r>
    <x v="37"/>
    <d v="2024-02-07T00:00:00"/>
    <x v="1"/>
    <x v="37"/>
    <n v="2"/>
    <n v="799.99"/>
    <n v="1599.98"/>
    <x v="1"/>
    <x v="1"/>
    <x v="1"/>
    <x v="0"/>
    <n v="2"/>
  </r>
  <r>
    <x v="38"/>
    <d v="2024-02-08T00:00:00"/>
    <x v="2"/>
    <x v="38"/>
    <n v="4"/>
    <n v="59.99"/>
    <n v="239.96"/>
    <x v="2"/>
    <x v="2"/>
    <x v="1"/>
    <x v="0"/>
    <n v="2"/>
  </r>
  <r>
    <x v="39"/>
    <d v="2024-02-09T00:00:00"/>
    <x v="3"/>
    <x v="39"/>
    <n v="3"/>
    <n v="24.99"/>
    <n v="74.97"/>
    <x v="0"/>
    <x v="0"/>
    <x v="1"/>
    <x v="0"/>
    <n v="2"/>
  </r>
  <r>
    <x v="40"/>
    <d v="2024-02-10T00:00:00"/>
    <x v="4"/>
    <x v="40"/>
    <n v="1"/>
    <n v="105"/>
    <n v="105"/>
    <x v="1"/>
    <x v="1"/>
    <x v="1"/>
    <x v="0"/>
    <n v="2"/>
  </r>
  <r>
    <x v="41"/>
    <d v="2024-02-11T00:00:00"/>
    <x v="5"/>
    <x v="41"/>
    <n v="2"/>
    <n v="129.99"/>
    <n v="259.98"/>
    <x v="2"/>
    <x v="0"/>
    <x v="1"/>
    <x v="0"/>
    <n v="2"/>
  </r>
  <r>
    <x v="42"/>
    <d v="2024-02-12T00:00:00"/>
    <x v="0"/>
    <x v="42"/>
    <n v="3"/>
    <n v="399.99"/>
    <n v="1199.97"/>
    <x v="0"/>
    <x v="0"/>
    <x v="1"/>
    <x v="0"/>
    <n v="2"/>
  </r>
  <r>
    <x v="43"/>
    <d v="2024-02-13T00:00:00"/>
    <x v="1"/>
    <x v="43"/>
    <n v="1"/>
    <n v="199.99"/>
    <n v="199.99"/>
    <x v="1"/>
    <x v="1"/>
    <x v="1"/>
    <x v="0"/>
    <n v="2"/>
  </r>
  <r>
    <x v="44"/>
    <d v="2024-02-14T00:00:00"/>
    <x v="2"/>
    <x v="44"/>
    <n v="2"/>
    <n v="139.99"/>
    <n v="279.98"/>
    <x v="2"/>
    <x v="2"/>
    <x v="1"/>
    <x v="0"/>
    <n v="2"/>
  </r>
  <r>
    <x v="45"/>
    <d v="2024-02-15T00:00:00"/>
    <x v="3"/>
    <x v="45"/>
    <n v="4"/>
    <n v="32.5"/>
    <n v="130"/>
    <x v="0"/>
    <x v="0"/>
    <x v="1"/>
    <x v="0"/>
    <n v="2"/>
  </r>
  <r>
    <x v="46"/>
    <d v="2024-02-16T00:00:00"/>
    <x v="4"/>
    <x v="46"/>
    <n v="1"/>
    <n v="52"/>
    <n v="52"/>
    <x v="1"/>
    <x v="1"/>
    <x v="1"/>
    <x v="0"/>
    <n v="2"/>
  </r>
  <r>
    <x v="47"/>
    <d v="2024-02-17T00:00:00"/>
    <x v="5"/>
    <x v="47"/>
    <n v="6"/>
    <n v="39.99"/>
    <n v="239.94"/>
    <x v="2"/>
    <x v="0"/>
    <x v="1"/>
    <x v="0"/>
    <n v="2"/>
  </r>
  <r>
    <x v="48"/>
    <d v="2024-02-18T00:00:00"/>
    <x v="0"/>
    <x v="48"/>
    <n v="2"/>
    <n v="129.99"/>
    <n v="259.98"/>
    <x v="0"/>
    <x v="0"/>
    <x v="1"/>
    <x v="0"/>
    <n v="2"/>
  </r>
  <r>
    <x v="49"/>
    <d v="2024-02-19T00:00:00"/>
    <x v="1"/>
    <x v="49"/>
    <n v="1"/>
    <n v="299.99"/>
    <n v="299.99"/>
    <x v="1"/>
    <x v="1"/>
    <x v="1"/>
    <x v="0"/>
    <n v="2"/>
  </r>
  <r>
    <x v="50"/>
    <d v="2024-02-20T00:00:00"/>
    <x v="2"/>
    <x v="50"/>
    <n v="3"/>
    <n v="154.99"/>
    <n v="464.97"/>
    <x v="2"/>
    <x v="2"/>
    <x v="1"/>
    <x v="0"/>
    <n v="2"/>
  </r>
  <r>
    <x v="51"/>
    <d v="2024-02-21T00:00:00"/>
    <x v="3"/>
    <x v="51"/>
    <n v="2"/>
    <n v="26.99"/>
    <n v="53.98"/>
    <x v="0"/>
    <x v="0"/>
    <x v="1"/>
    <x v="0"/>
    <n v="2"/>
  </r>
  <r>
    <x v="52"/>
    <d v="2024-02-22T00:00:00"/>
    <x v="4"/>
    <x v="52"/>
    <n v="1"/>
    <n v="49"/>
    <n v="49"/>
    <x v="1"/>
    <x v="1"/>
    <x v="1"/>
    <x v="0"/>
    <n v="2"/>
  </r>
  <r>
    <x v="53"/>
    <d v="2024-02-23T00:00:00"/>
    <x v="5"/>
    <x v="53"/>
    <n v="5"/>
    <n v="49.99"/>
    <n v="249.95"/>
    <x v="2"/>
    <x v="0"/>
    <x v="1"/>
    <x v="0"/>
    <n v="2"/>
  </r>
  <r>
    <x v="54"/>
    <d v="2024-02-24T00:00:00"/>
    <x v="0"/>
    <x v="54"/>
    <n v="4"/>
    <n v="59.99"/>
    <n v="239.96"/>
    <x v="0"/>
    <x v="0"/>
    <x v="1"/>
    <x v="0"/>
    <n v="2"/>
  </r>
  <r>
    <x v="55"/>
    <d v="2024-02-25T00:00:00"/>
    <x v="1"/>
    <x v="55"/>
    <n v="1"/>
    <n v="499.99"/>
    <n v="499.99"/>
    <x v="1"/>
    <x v="1"/>
    <x v="1"/>
    <x v="0"/>
    <n v="2"/>
  </r>
  <r>
    <x v="56"/>
    <d v="2024-02-26T00:00:00"/>
    <x v="2"/>
    <x v="56"/>
    <n v="5"/>
    <n v="29.99"/>
    <n v="149.94999999999999"/>
    <x v="2"/>
    <x v="2"/>
    <x v="1"/>
    <x v="0"/>
    <n v="2"/>
  </r>
  <r>
    <x v="57"/>
    <d v="2024-02-27T00:00:00"/>
    <x v="3"/>
    <x v="57"/>
    <n v="3"/>
    <n v="28"/>
    <n v="84"/>
    <x v="0"/>
    <x v="0"/>
    <x v="1"/>
    <x v="0"/>
    <n v="2"/>
  </r>
  <r>
    <x v="58"/>
    <d v="2024-02-28T00:00:00"/>
    <x v="4"/>
    <x v="58"/>
    <n v="2"/>
    <n v="23"/>
    <n v="46"/>
    <x v="1"/>
    <x v="1"/>
    <x v="1"/>
    <x v="0"/>
    <n v="2"/>
  </r>
  <r>
    <x v="59"/>
    <d v="2024-02-29T00:00:00"/>
    <x v="5"/>
    <x v="59"/>
    <n v="1"/>
    <n v="349"/>
    <n v="349"/>
    <x v="2"/>
    <x v="0"/>
    <x v="1"/>
    <x v="0"/>
    <n v="2"/>
  </r>
  <r>
    <x v="60"/>
    <d v="2024-03-01T00:00:00"/>
    <x v="0"/>
    <x v="60"/>
    <n v="3"/>
    <n v="299.99"/>
    <n v="899.97"/>
    <x v="0"/>
    <x v="0"/>
    <x v="2"/>
    <x v="0"/>
    <n v="3"/>
  </r>
  <r>
    <x v="61"/>
    <d v="2024-03-02T00:00:00"/>
    <x v="1"/>
    <x v="61"/>
    <n v="2"/>
    <n v="199.99"/>
    <n v="399.98"/>
    <x v="1"/>
    <x v="1"/>
    <x v="2"/>
    <x v="0"/>
    <n v="3"/>
  </r>
  <r>
    <x v="62"/>
    <d v="2024-03-03T00:00:00"/>
    <x v="2"/>
    <x v="62"/>
    <n v="10"/>
    <n v="9.99"/>
    <n v="99.9"/>
    <x v="2"/>
    <x v="2"/>
    <x v="2"/>
    <x v="0"/>
    <n v="3"/>
  </r>
  <r>
    <x v="63"/>
    <d v="2024-03-04T00:00:00"/>
    <x v="3"/>
    <x v="63"/>
    <n v="4"/>
    <n v="18.989999999999998"/>
    <n v="75.959999999999994"/>
    <x v="0"/>
    <x v="0"/>
    <x v="2"/>
    <x v="0"/>
    <n v="3"/>
  </r>
  <r>
    <x v="64"/>
    <d v="2024-03-05T00:00:00"/>
    <x v="4"/>
    <x v="64"/>
    <n v="1"/>
    <n v="102"/>
    <n v="102"/>
    <x v="1"/>
    <x v="1"/>
    <x v="2"/>
    <x v="0"/>
    <n v="3"/>
  </r>
  <r>
    <x v="65"/>
    <d v="2024-03-06T00:00:00"/>
    <x v="5"/>
    <x v="65"/>
    <n v="2"/>
    <n v="299.99"/>
    <n v="599.98"/>
    <x v="2"/>
    <x v="0"/>
    <x v="2"/>
    <x v="0"/>
    <n v="3"/>
  </r>
  <r>
    <x v="66"/>
    <d v="2024-03-07T00:00:00"/>
    <x v="0"/>
    <x v="66"/>
    <n v="1"/>
    <n v="1199.99"/>
    <n v="1199.99"/>
    <x v="0"/>
    <x v="0"/>
    <x v="2"/>
    <x v="0"/>
    <n v="3"/>
  </r>
  <r>
    <x v="67"/>
    <d v="2024-03-08T00:00:00"/>
    <x v="1"/>
    <x v="67"/>
    <n v="3"/>
    <n v="219.99"/>
    <n v="659.97"/>
    <x v="1"/>
    <x v="1"/>
    <x v="2"/>
    <x v="0"/>
    <n v="3"/>
  </r>
  <r>
    <x v="68"/>
    <d v="2024-03-09T00:00:00"/>
    <x v="2"/>
    <x v="68"/>
    <n v="4"/>
    <n v="59.99"/>
    <n v="239.96"/>
    <x v="2"/>
    <x v="2"/>
    <x v="2"/>
    <x v="0"/>
    <n v="3"/>
  </r>
  <r>
    <x v="69"/>
    <d v="2024-03-10T00:00:00"/>
    <x v="3"/>
    <x v="69"/>
    <n v="2"/>
    <n v="10.99"/>
    <n v="21.98"/>
    <x v="0"/>
    <x v="0"/>
    <x v="2"/>
    <x v="0"/>
    <n v="3"/>
  </r>
  <r>
    <x v="70"/>
    <d v="2024-03-11T00:00:00"/>
    <x v="4"/>
    <x v="70"/>
    <n v="1"/>
    <n v="78"/>
    <n v="78"/>
    <x v="1"/>
    <x v="1"/>
    <x v="2"/>
    <x v="0"/>
    <n v="3"/>
  </r>
  <r>
    <x v="71"/>
    <d v="2024-03-12T00:00:00"/>
    <x v="5"/>
    <x v="71"/>
    <n v="3"/>
    <n v="129.99"/>
    <n v="389.97"/>
    <x v="2"/>
    <x v="0"/>
    <x v="2"/>
    <x v="0"/>
    <n v="3"/>
  </r>
  <r>
    <x v="72"/>
    <d v="2024-03-13T00:00:00"/>
    <x v="0"/>
    <x v="72"/>
    <n v="1"/>
    <n v="1599.99"/>
    <n v="1599.99"/>
    <x v="0"/>
    <x v="0"/>
    <x v="2"/>
    <x v="0"/>
    <n v="3"/>
  </r>
  <r>
    <x v="73"/>
    <d v="2024-03-14T00:00:00"/>
    <x v="1"/>
    <x v="73"/>
    <n v="1"/>
    <n v="899.99"/>
    <n v="899.99"/>
    <x v="1"/>
    <x v="1"/>
    <x v="2"/>
    <x v="0"/>
    <n v="3"/>
  </r>
  <r>
    <x v="74"/>
    <d v="2024-03-15T00:00:00"/>
    <x v="2"/>
    <x v="74"/>
    <n v="5"/>
    <n v="49.99"/>
    <n v="249.95"/>
    <x v="2"/>
    <x v="2"/>
    <x v="2"/>
    <x v="0"/>
    <n v="3"/>
  </r>
  <r>
    <x v="75"/>
    <d v="2024-03-16T00:00:00"/>
    <x v="3"/>
    <x v="75"/>
    <n v="4"/>
    <n v="14.99"/>
    <n v="59.96"/>
    <x v="0"/>
    <x v="0"/>
    <x v="2"/>
    <x v="0"/>
    <n v="3"/>
  </r>
  <r>
    <x v="76"/>
    <d v="2024-03-17T00:00:00"/>
    <x v="4"/>
    <x v="76"/>
    <n v="2"/>
    <n v="16"/>
    <n v="32"/>
    <x v="1"/>
    <x v="1"/>
    <x v="2"/>
    <x v="0"/>
    <n v="3"/>
  </r>
  <r>
    <x v="77"/>
    <d v="2024-03-18T00:00:00"/>
    <x v="5"/>
    <x v="77"/>
    <n v="3"/>
    <n v="69.989999999999995"/>
    <n v="209.97"/>
    <x v="2"/>
    <x v="0"/>
    <x v="2"/>
    <x v="0"/>
    <n v="3"/>
  </r>
  <r>
    <x v="78"/>
    <d v="2024-03-19T00:00:00"/>
    <x v="0"/>
    <x v="78"/>
    <n v="2"/>
    <n v="249.99"/>
    <n v="499.98"/>
    <x v="0"/>
    <x v="0"/>
    <x v="2"/>
    <x v="0"/>
    <n v="3"/>
  </r>
  <r>
    <x v="79"/>
    <d v="2024-03-20T00:00:00"/>
    <x v="1"/>
    <x v="79"/>
    <n v="1"/>
    <n v="499.99"/>
    <n v="499.99"/>
    <x v="1"/>
    <x v="1"/>
    <x v="2"/>
    <x v="0"/>
    <n v="3"/>
  </r>
  <r>
    <x v="80"/>
    <d v="2024-03-21T00:00:00"/>
    <x v="2"/>
    <x v="80"/>
    <n v="2"/>
    <n v="89.99"/>
    <n v="179.98"/>
    <x v="2"/>
    <x v="2"/>
    <x v="2"/>
    <x v="0"/>
    <n v="3"/>
  </r>
  <r>
    <x v="81"/>
    <d v="2024-03-22T00:00:00"/>
    <x v="3"/>
    <x v="81"/>
    <n v="3"/>
    <n v="12.99"/>
    <n v="38.97"/>
    <x v="0"/>
    <x v="0"/>
    <x v="2"/>
    <x v="0"/>
    <n v="3"/>
  </r>
  <r>
    <x v="82"/>
    <d v="2024-03-23T00:00:00"/>
    <x v="4"/>
    <x v="82"/>
    <n v="1"/>
    <n v="100"/>
    <n v="100"/>
    <x v="1"/>
    <x v="1"/>
    <x v="2"/>
    <x v="0"/>
    <n v="3"/>
  </r>
  <r>
    <x v="83"/>
    <d v="2024-03-24T00:00:00"/>
    <x v="5"/>
    <x v="83"/>
    <n v="6"/>
    <n v="24.99"/>
    <n v="149.94"/>
    <x v="2"/>
    <x v="0"/>
    <x v="2"/>
    <x v="0"/>
    <n v="3"/>
  </r>
  <r>
    <x v="84"/>
    <d v="2024-03-25T00:00:00"/>
    <x v="0"/>
    <x v="84"/>
    <n v="1"/>
    <n v="99.99"/>
    <n v="99.99"/>
    <x v="0"/>
    <x v="0"/>
    <x v="2"/>
    <x v="0"/>
    <n v="3"/>
  </r>
  <r>
    <x v="85"/>
    <d v="2024-03-26T00:00:00"/>
    <x v="1"/>
    <x v="85"/>
    <n v="2"/>
    <n v="1299.99"/>
    <n v="2599.98"/>
    <x v="1"/>
    <x v="1"/>
    <x v="2"/>
    <x v="0"/>
    <n v="3"/>
  </r>
  <r>
    <x v="86"/>
    <d v="2024-03-27T00:00:00"/>
    <x v="2"/>
    <x v="86"/>
    <n v="3"/>
    <n v="79.989999999999995"/>
    <n v="239.97"/>
    <x v="2"/>
    <x v="2"/>
    <x v="2"/>
    <x v="0"/>
    <n v="3"/>
  </r>
  <r>
    <x v="87"/>
    <d v="2024-03-28T00:00:00"/>
    <x v="3"/>
    <x v="87"/>
    <n v="4"/>
    <n v="13.99"/>
    <n v="55.96"/>
    <x v="0"/>
    <x v="0"/>
    <x v="2"/>
    <x v="0"/>
    <n v="3"/>
  </r>
  <r>
    <x v="88"/>
    <d v="2024-03-29T00:00:00"/>
    <x v="4"/>
    <x v="88"/>
    <n v="1"/>
    <n v="105"/>
    <n v="105"/>
    <x v="1"/>
    <x v="1"/>
    <x v="2"/>
    <x v="0"/>
    <n v="3"/>
  </r>
  <r>
    <x v="89"/>
    <d v="2024-03-30T00:00:00"/>
    <x v="5"/>
    <x v="89"/>
    <n v="2"/>
    <n v="129.99"/>
    <n v="259.98"/>
    <x v="2"/>
    <x v="0"/>
    <x v="2"/>
    <x v="0"/>
    <n v="3"/>
  </r>
  <r>
    <x v="90"/>
    <d v="2024-03-31T00:00:00"/>
    <x v="0"/>
    <x v="90"/>
    <n v="2"/>
    <n v="99.99"/>
    <n v="199.98"/>
    <x v="0"/>
    <x v="0"/>
    <x v="2"/>
    <x v="0"/>
    <n v="3"/>
  </r>
  <r>
    <x v="91"/>
    <d v="2024-04-01T00:00:00"/>
    <x v="1"/>
    <x v="91"/>
    <n v="1"/>
    <n v="179.99"/>
    <n v="179.99"/>
    <x v="1"/>
    <x v="1"/>
    <x v="3"/>
    <x v="0"/>
    <n v="4"/>
  </r>
  <r>
    <x v="92"/>
    <d v="2024-04-02T00:00:00"/>
    <x v="2"/>
    <x v="92"/>
    <n v="4"/>
    <n v="79.989999999999995"/>
    <n v="319.95999999999998"/>
    <x v="2"/>
    <x v="2"/>
    <x v="3"/>
    <x v="0"/>
    <n v="4"/>
  </r>
  <r>
    <x v="93"/>
    <d v="2024-04-03T00:00:00"/>
    <x v="3"/>
    <x v="93"/>
    <n v="3"/>
    <n v="14.99"/>
    <n v="44.97"/>
    <x v="0"/>
    <x v="0"/>
    <x v="3"/>
    <x v="0"/>
    <n v="4"/>
  </r>
  <r>
    <x v="94"/>
    <d v="2024-04-04T00:00:00"/>
    <x v="4"/>
    <x v="94"/>
    <n v="1"/>
    <n v="68"/>
    <n v="68"/>
    <x v="1"/>
    <x v="1"/>
    <x v="3"/>
    <x v="0"/>
    <n v="4"/>
  </r>
  <r>
    <x v="95"/>
    <d v="2024-04-05T00:00:00"/>
    <x v="5"/>
    <x v="95"/>
    <n v="1"/>
    <n v="999.99"/>
    <n v="999.99"/>
    <x v="2"/>
    <x v="0"/>
    <x v="3"/>
    <x v="0"/>
    <n v="4"/>
  </r>
  <r>
    <x v="96"/>
    <d v="2024-04-06T00:00:00"/>
    <x v="0"/>
    <x v="96"/>
    <n v="3"/>
    <n v="299.99"/>
    <n v="899.97"/>
    <x v="0"/>
    <x v="0"/>
    <x v="3"/>
    <x v="0"/>
    <n v="4"/>
  </r>
  <r>
    <x v="97"/>
    <d v="2024-04-07T00:00:00"/>
    <x v="1"/>
    <x v="97"/>
    <n v="1"/>
    <n v="349.99"/>
    <n v="349.99"/>
    <x v="1"/>
    <x v="1"/>
    <x v="3"/>
    <x v="0"/>
    <n v="4"/>
  </r>
  <r>
    <x v="98"/>
    <d v="2024-04-08T00:00:00"/>
    <x v="2"/>
    <x v="98"/>
    <n v="6"/>
    <n v="19.989999999999998"/>
    <n v="119.94"/>
    <x v="2"/>
    <x v="2"/>
    <x v="3"/>
    <x v="0"/>
    <n v="4"/>
  </r>
  <r>
    <x v="99"/>
    <d v="2024-04-09T00:00:00"/>
    <x v="3"/>
    <x v="99"/>
    <n v="2"/>
    <n v="12.99"/>
    <n v="25.98"/>
    <x v="0"/>
    <x v="0"/>
    <x v="3"/>
    <x v="0"/>
    <n v="4"/>
  </r>
  <r>
    <x v="100"/>
    <d v="2024-04-10T00:00:00"/>
    <x v="4"/>
    <x v="100"/>
    <n v="1"/>
    <n v="82"/>
    <n v="82"/>
    <x v="1"/>
    <x v="1"/>
    <x v="3"/>
    <x v="0"/>
    <n v="4"/>
  </r>
  <r>
    <x v="101"/>
    <d v="2024-04-11T00:00:00"/>
    <x v="5"/>
    <x v="101"/>
    <n v="2"/>
    <n v="109.99"/>
    <n v="219.98"/>
    <x v="2"/>
    <x v="0"/>
    <x v="3"/>
    <x v="0"/>
    <n v="4"/>
  </r>
  <r>
    <x v="102"/>
    <d v="2024-04-12T00:00:00"/>
    <x v="0"/>
    <x v="102"/>
    <n v="1"/>
    <n v="3899.99"/>
    <n v="3899.99"/>
    <x v="0"/>
    <x v="0"/>
    <x v="3"/>
    <x v="0"/>
    <n v="4"/>
  </r>
  <r>
    <x v="103"/>
    <d v="2024-04-13T00:00:00"/>
    <x v="1"/>
    <x v="103"/>
    <n v="2"/>
    <n v="349.99"/>
    <n v="699.98"/>
    <x v="1"/>
    <x v="1"/>
    <x v="3"/>
    <x v="0"/>
    <n v="4"/>
  </r>
  <r>
    <x v="104"/>
    <d v="2024-04-14T00:00:00"/>
    <x v="2"/>
    <x v="104"/>
    <n v="3"/>
    <n v="39.99"/>
    <n v="119.97"/>
    <x v="2"/>
    <x v="2"/>
    <x v="3"/>
    <x v="0"/>
    <n v="4"/>
  </r>
  <r>
    <x v="105"/>
    <d v="2024-04-15T00:00:00"/>
    <x v="3"/>
    <x v="105"/>
    <n v="4"/>
    <n v="10.99"/>
    <n v="43.96"/>
    <x v="0"/>
    <x v="0"/>
    <x v="3"/>
    <x v="0"/>
    <n v="4"/>
  </r>
  <r>
    <x v="106"/>
    <d v="2024-04-16T00:00:00"/>
    <x v="4"/>
    <x v="106"/>
    <n v="1"/>
    <n v="6.5"/>
    <n v="6.5"/>
    <x v="1"/>
    <x v="1"/>
    <x v="3"/>
    <x v="0"/>
    <n v="4"/>
  </r>
  <r>
    <x v="107"/>
    <d v="2024-04-17T00:00:00"/>
    <x v="5"/>
    <x v="107"/>
    <n v="1"/>
    <n v="399.99"/>
    <n v="399.99"/>
    <x v="2"/>
    <x v="0"/>
    <x v="3"/>
    <x v="0"/>
    <n v="4"/>
  </r>
  <r>
    <x v="108"/>
    <d v="2024-04-18T00:00:00"/>
    <x v="0"/>
    <x v="108"/>
    <n v="2"/>
    <n v="229.99"/>
    <n v="459.98"/>
    <x v="0"/>
    <x v="0"/>
    <x v="3"/>
    <x v="0"/>
    <n v="4"/>
  </r>
  <r>
    <x v="109"/>
    <d v="2024-04-19T00:00:00"/>
    <x v="1"/>
    <x v="109"/>
    <n v="1"/>
    <n v="159.99"/>
    <n v="159.99"/>
    <x v="1"/>
    <x v="1"/>
    <x v="3"/>
    <x v="0"/>
    <n v="4"/>
  </r>
  <r>
    <x v="110"/>
    <d v="2024-04-20T00:00:00"/>
    <x v="2"/>
    <x v="110"/>
    <n v="4"/>
    <n v="14.99"/>
    <n v="59.96"/>
    <x v="2"/>
    <x v="2"/>
    <x v="3"/>
    <x v="0"/>
    <n v="4"/>
  </r>
  <r>
    <x v="111"/>
    <d v="2024-04-21T00:00:00"/>
    <x v="3"/>
    <x v="111"/>
    <n v="2"/>
    <n v="18.989999999999998"/>
    <n v="37.979999999999997"/>
    <x v="0"/>
    <x v="0"/>
    <x v="3"/>
    <x v="0"/>
    <n v="4"/>
  </r>
  <r>
    <x v="112"/>
    <d v="2024-04-22T00:00:00"/>
    <x v="4"/>
    <x v="112"/>
    <n v="1"/>
    <n v="15"/>
    <n v="15"/>
    <x v="1"/>
    <x v="1"/>
    <x v="3"/>
    <x v="0"/>
    <n v="4"/>
  </r>
  <r>
    <x v="113"/>
    <d v="2024-04-23T00:00:00"/>
    <x v="5"/>
    <x v="113"/>
    <n v="3"/>
    <n v="229.95"/>
    <n v="689.85"/>
    <x v="2"/>
    <x v="0"/>
    <x v="3"/>
    <x v="0"/>
    <n v="4"/>
  </r>
  <r>
    <x v="114"/>
    <d v="2024-04-24T00:00:00"/>
    <x v="0"/>
    <x v="114"/>
    <n v="1"/>
    <n v="249.99"/>
    <n v="249.99"/>
    <x v="0"/>
    <x v="0"/>
    <x v="3"/>
    <x v="0"/>
    <n v="4"/>
  </r>
  <r>
    <x v="115"/>
    <d v="2024-04-25T00:00:00"/>
    <x v="1"/>
    <x v="115"/>
    <n v="2"/>
    <n v="299.95"/>
    <n v="599.9"/>
    <x v="1"/>
    <x v="1"/>
    <x v="3"/>
    <x v="0"/>
    <n v="4"/>
  </r>
  <r>
    <x v="116"/>
    <d v="2024-04-26T00:00:00"/>
    <x v="2"/>
    <x v="116"/>
    <n v="3"/>
    <n v="49.99"/>
    <n v="149.97"/>
    <x v="2"/>
    <x v="2"/>
    <x v="3"/>
    <x v="0"/>
    <n v="4"/>
  </r>
  <r>
    <x v="117"/>
    <d v="2024-04-27T00:00:00"/>
    <x v="3"/>
    <x v="117"/>
    <n v="4"/>
    <n v="16.989999999999998"/>
    <n v="67.959999999999994"/>
    <x v="0"/>
    <x v="0"/>
    <x v="3"/>
    <x v="0"/>
    <n v="4"/>
  </r>
  <r>
    <x v="118"/>
    <d v="2024-04-28T00:00:00"/>
    <x v="4"/>
    <x v="118"/>
    <n v="2"/>
    <n v="14.99"/>
    <n v="29.98"/>
    <x v="1"/>
    <x v="1"/>
    <x v="3"/>
    <x v="0"/>
    <n v="4"/>
  </r>
  <r>
    <x v="119"/>
    <d v="2024-04-29T00:00:00"/>
    <x v="5"/>
    <x v="119"/>
    <n v="1"/>
    <n v="249.99"/>
    <n v="249.99"/>
    <x v="2"/>
    <x v="0"/>
    <x v="3"/>
    <x v="0"/>
    <n v="4"/>
  </r>
  <r>
    <x v="120"/>
    <d v="2024-04-30T00:00:00"/>
    <x v="0"/>
    <x v="120"/>
    <n v="2"/>
    <n v="599.99"/>
    <n v="1199.98"/>
    <x v="0"/>
    <x v="0"/>
    <x v="3"/>
    <x v="0"/>
    <n v="4"/>
  </r>
  <r>
    <x v="121"/>
    <d v="2024-05-01T00:00:00"/>
    <x v="1"/>
    <x v="121"/>
    <n v="1"/>
    <n v="89.99"/>
    <n v="89.99"/>
    <x v="1"/>
    <x v="1"/>
    <x v="4"/>
    <x v="0"/>
    <n v="5"/>
  </r>
  <r>
    <x v="122"/>
    <d v="2024-05-02T00:00:00"/>
    <x v="2"/>
    <x v="122"/>
    <n v="5"/>
    <n v="12.99"/>
    <n v="64.95"/>
    <x v="2"/>
    <x v="2"/>
    <x v="4"/>
    <x v="0"/>
    <n v="5"/>
  </r>
  <r>
    <x v="123"/>
    <d v="2024-05-03T00:00:00"/>
    <x v="3"/>
    <x v="123"/>
    <n v="3"/>
    <n v="14.99"/>
    <n v="44.97"/>
    <x v="0"/>
    <x v="0"/>
    <x v="4"/>
    <x v="0"/>
    <n v="5"/>
  </r>
  <r>
    <x v="124"/>
    <d v="2024-05-04T00:00:00"/>
    <x v="4"/>
    <x v="124"/>
    <n v="1"/>
    <n v="30"/>
    <n v="30"/>
    <x v="1"/>
    <x v="1"/>
    <x v="4"/>
    <x v="0"/>
    <n v="5"/>
  </r>
  <r>
    <x v="125"/>
    <d v="2024-05-05T00:00:00"/>
    <x v="5"/>
    <x v="125"/>
    <n v="1"/>
    <n v="199.99"/>
    <n v="199.99"/>
    <x v="2"/>
    <x v="0"/>
    <x v="4"/>
    <x v="0"/>
    <n v="5"/>
  </r>
  <r>
    <x v="126"/>
    <d v="2024-05-06T00:00:00"/>
    <x v="0"/>
    <x v="126"/>
    <n v="1"/>
    <n v="499.99"/>
    <n v="499.99"/>
    <x v="0"/>
    <x v="0"/>
    <x v="4"/>
    <x v="0"/>
    <n v="5"/>
  </r>
  <r>
    <x v="127"/>
    <d v="2024-05-07T00:00:00"/>
    <x v="1"/>
    <x v="16"/>
    <n v="2"/>
    <n v="399.99"/>
    <n v="799.98"/>
    <x v="1"/>
    <x v="1"/>
    <x v="4"/>
    <x v="0"/>
    <n v="5"/>
  </r>
  <r>
    <x v="128"/>
    <d v="2024-05-08T00:00:00"/>
    <x v="2"/>
    <x v="127"/>
    <n v="3"/>
    <n v="98"/>
    <n v="294"/>
    <x v="2"/>
    <x v="2"/>
    <x v="4"/>
    <x v="0"/>
    <n v="5"/>
  </r>
  <r>
    <x v="129"/>
    <d v="2024-05-09T00:00:00"/>
    <x v="3"/>
    <x v="128"/>
    <n v="2"/>
    <n v="8.99"/>
    <n v="17.98"/>
    <x v="0"/>
    <x v="0"/>
    <x v="4"/>
    <x v="0"/>
    <n v="5"/>
  </r>
  <r>
    <x v="130"/>
    <d v="2024-05-10T00:00:00"/>
    <x v="4"/>
    <x v="129"/>
    <n v="1"/>
    <n v="36"/>
    <n v="36"/>
    <x v="1"/>
    <x v="1"/>
    <x v="4"/>
    <x v="0"/>
    <n v="5"/>
  </r>
  <r>
    <x v="131"/>
    <d v="2024-05-11T00:00:00"/>
    <x v="5"/>
    <x v="130"/>
    <n v="4"/>
    <n v="39.950000000000003"/>
    <n v="159.80000000000001"/>
    <x v="2"/>
    <x v="0"/>
    <x v="4"/>
    <x v="0"/>
    <n v="5"/>
  </r>
  <r>
    <x v="132"/>
    <d v="2024-05-12T00:00:00"/>
    <x v="0"/>
    <x v="131"/>
    <n v="1"/>
    <n v="1299.99"/>
    <n v="1299.99"/>
    <x v="0"/>
    <x v="0"/>
    <x v="4"/>
    <x v="0"/>
    <n v="5"/>
  </r>
  <r>
    <x v="133"/>
    <d v="2024-05-13T00:00:00"/>
    <x v="1"/>
    <x v="132"/>
    <n v="2"/>
    <n v="79.989999999999995"/>
    <n v="159.97999999999999"/>
    <x v="1"/>
    <x v="1"/>
    <x v="4"/>
    <x v="0"/>
    <n v="5"/>
  </r>
  <r>
    <x v="134"/>
    <d v="2024-05-14T00:00:00"/>
    <x v="2"/>
    <x v="133"/>
    <n v="4"/>
    <n v="34.99"/>
    <n v="139.96"/>
    <x v="2"/>
    <x v="2"/>
    <x v="4"/>
    <x v="0"/>
    <n v="5"/>
  </r>
  <r>
    <x v="135"/>
    <d v="2024-05-15T00:00:00"/>
    <x v="3"/>
    <x v="134"/>
    <n v="3"/>
    <n v="9.99"/>
    <n v="29.97"/>
    <x v="0"/>
    <x v="0"/>
    <x v="4"/>
    <x v="0"/>
    <n v="5"/>
  </r>
  <r>
    <x v="136"/>
    <d v="2024-05-16T00:00:00"/>
    <x v="4"/>
    <x v="135"/>
    <n v="1"/>
    <n v="6.8"/>
    <n v="6.8"/>
    <x v="1"/>
    <x v="1"/>
    <x v="4"/>
    <x v="0"/>
    <n v="5"/>
  </r>
  <r>
    <x v="137"/>
    <d v="2024-05-17T00:00:00"/>
    <x v="5"/>
    <x v="136"/>
    <n v="2"/>
    <n v="99.95"/>
    <n v="199.9"/>
    <x v="2"/>
    <x v="0"/>
    <x v="4"/>
    <x v="0"/>
    <n v="5"/>
  </r>
  <r>
    <x v="138"/>
    <d v="2024-05-18T00:00:00"/>
    <x v="0"/>
    <x v="137"/>
    <n v="1"/>
    <n v="1499.99"/>
    <n v="1499.99"/>
    <x v="0"/>
    <x v="0"/>
    <x v="4"/>
    <x v="0"/>
    <n v="5"/>
  </r>
  <r>
    <x v="139"/>
    <d v="2024-05-19T00:00:00"/>
    <x v="1"/>
    <x v="138"/>
    <n v="1"/>
    <n v="139.99"/>
    <n v="139.99"/>
    <x v="1"/>
    <x v="1"/>
    <x v="4"/>
    <x v="0"/>
    <n v="5"/>
  </r>
  <r>
    <x v="140"/>
    <d v="2024-05-20T00:00:00"/>
    <x v="2"/>
    <x v="139"/>
    <n v="3"/>
    <n v="44.99"/>
    <n v="134.97"/>
    <x v="2"/>
    <x v="2"/>
    <x v="4"/>
    <x v="0"/>
    <n v="5"/>
  </r>
  <r>
    <x v="141"/>
    <d v="2024-05-21T00:00:00"/>
    <x v="3"/>
    <x v="140"/>
    <n v="2"/>
    <n v="11.99"/>
    <n v="23.98"/>
    <x v="0"/>
    <x v="0"/>
    <x v="4"/>
    <x v="0"/>
    <n v="5"/>
  </r>
  <r>
    <x v="142"/>
    <d v="2024-05-22T00:00:00"/>
    <x v="4"/>
    <x v="141"/>
    <n v="1"/>
    <n v="29.5"/>
    <n v="29.5"/>
    <x v="1"/>
    <x v="1"/>
    <x v="4"/>
    <x v="0"/>
    <n v="5"/>
  </r>
  <r>
    <x v="143"/>
    <d v="2024-05-23T00:00:00"/>
    <x v="5"/>
    <x v="142"/>
    <n v="1"/>
    <n v="299.99"/>
    <n v="299.99"/>
    <x v="2"/>
    <x v="0"/>
    <x v="4"/>
    <x v="0"/>
    <n v="5"/>
  </r>
  <r>
    <x v="144"/>
    <d v="2024-05-24T00:00:00"/>
    <x v="0"/>
    <x v="143"/>
    <n v="1"/>
    <n v="549"/>
    <n v="549"/>
    <x v="0"/>
    <x v="0"/>
    <x v="4"/>
    <x v="0"/>
    <n v="5"/>
  </r>
  <r>
    <x v="145"/>
    <d v="2024-05-25T00:00:00"/>
    <x v="1"/>
    <x v="144"/>
    <n v="2"/>
    <n v="199.95"/>
    <n v="399.9"/>
    <x v="1"/>
    <x v="1"/>
    <x v="4"/>
    <x v="0"/>
    <n v="5"/>
  </r>
  <r>
    <x v="146"/>
    <d v="2024-05-26T00:00:00"/>
    <x v="2"/>
    <x v="145"/>
    <n v="2"/>
    <n v="98"/>
    <n v="196"/>
    <x v="2"/>
    <x v="2"/>
    <x v="4"/>
    <x v="0"/>
    <n v="5"/>
  </r>
  <r>
    <x v="147"/>
    <d v="2024-05-27T00:00:00"/>
    <x v="3"/>
    <x v="146"/>
    <n v="3"/>
    <n v="10.99"/>
    <n v="32.97"/>
    <x v="0"/>
    <x v="0"/>
    <x v="4"/>
    <x v="0"/>
    <n v="5"/>
  </r>
  <r>
    <x v="148"/>
    <d v="2024-05-28T00:00:00"/>
    <x v="4"/>
    <x v="147"/>
    <n v="1"/>
    <n v="25"/>
    <n v="25"/>
    <x v="1"/>
    <x v="1"/>
    <x v="4"/>
    <x v="0"/>
    <n v="5"/>
  </r>
  <r>
    <x v="149"/>
    <d v="2024-05-29T00:00:00"/>
    <x v="5"/>
    <x v="148"/>
    <n v="2"/>
    <n v="149.99"/>
    <n v="299.98"/>
    <x v="2"/>
    <x v="0"/>
    <x v="4"/>
    <x v="0"/>
    <n v="5"/>
  </r>
  <r>
    <x v="150"/>
    <d v="2024-05-30T00:00:00"/>
    <x v="0"/>
    <x v="30"/>
    <n v="1"/>
    <n v="349.99"/>
    <n v="349.99"/>
    <x v="0"/>
    <x v="0"/>
    <x v="4"/>
    <x v="0"/>
    <n v="5"/>
  </r>
  <r>
    <x v="151"/>
    <d v="2024-05-31T00:00:00"/>
    <x v="1"/>
    <x v="149"/>
    <n v="2"/>
    <n v="199.99"/>
    <n v="399.98"/>
    <x v="1"/>
    <x v="1"/>
    <x v="4"/>
    <x v="0"/>
    <n v="5"/>
  </r>
  <r>
    <x v="152"/>
    <d v="2024-06-01T00:00:00"/>
    <x v="2"/>
    <x v="150"/>
    <n v="3"/>
    <n v="54.99"/>
    <n v="164.97"/>
    <x v="2"/>
    <x v="2"/>
    <x v="5"/>
    <x v="0"/>
    <n v="6"/>
  </r>
  <r>
    <x v="153"/>
    <d v="2024-06-02T00:00:00"/>
    <x v="3"/>
    <x v="151"/>
    <n v="2"/>
    <n v="16.989999999999998"/>
    <n v="33.979999999999997"/>
    <x v="0"/>
    <x v="0"/>
    <x v="5"/>
    <x v="0"/>
    <n v="6"/>
  </r>
  <r>
    <x v="154"/>
    <d v="2024-06-03T00:00:00"/>
    <x v="4"/>
    <x v="152"/>
    <n v="1"/>
    <n v="59"/>
    <n v="59"/>
    <x v="1"/>
    <x v="1"/>
    <x v="5"/>
    <x v="0"/>
    <n v="6"/>
  </r>
  <r>
    <x v="155"/>
    <d v="2024-06-04T00:00:00"/>
    <x v="5"/>
    <x v="153"/>
    <n v="1"/>
    <n v="299.99"/>
    <n v="299.99"/>
    <x v="2"/>
    <x v="0"/>
    <x v="5"/>
    <x v="0"/>
    <n v="6"/>
  </r>
  <r>
    <x v="156"/>
    <d v="2024-06-05T00:00:00"/>
    <x v="0"/>
    <x v="154"/>
    <n v="1"/>
    <n v="899.99"/>
    <n v="899.99"/>
    <x v="0"/>
    <x v="0"/>
    <x v="5"/>
    <x v="0"/>
    <n v="6"/>
  </r>
  <r>
    <x v="157"/>
    <d v="2024-06-06T00:00:00"/>
    <x v="1"/>
    <x v="155"/>
    <n v="1"/>
    <n v="499.95"/>
    <n v="499.95"/>
    <x v="1"/>
    <x v="1"/>
    <x v="5"/>
    <x v="0"/>
    <n v="6"/>
  </r>
  <r>
    <x v="158"/>
    <d v="2024-06-07T00:00:00"/>
    <x v="2"/>
    <x v="156"/>
    <n v="4"/>
    <n v="24.99"/>
    <n v="99.96"/>
    <x v="2"/>
    <x v="2"/>
    <x v="5"/>
    <x v="0"/>
    <n v="6"/>
  </r>
  <r>
    <x v="159"/>
    <d v="2024-06-08T00:00:00"/>
    <x v="3"/>
    <x v="157"/>
    <n v="3"/>
    <n v="7.99"/>
    <n v="23.97"/>
    <x v="0"/>
    <x v="0"/>
    <x v="5"/>
    <x v="0"/>
    <n v="6"/>
  </r>
  <r>
    <x v="160"/>
    <d v="2024-06-09T00:00:00"/>
    <x v="4"/>
    <x v="158"/>
    <n v="1"/>
    <n v="36"/>
    <n v="36"/>
    <x v="1"/>
    <x v="1"/>
    <x v="5"/>
    <x v="0"/>
    <n v="6"/>
  </r>
  <r>
    <x v="161"/>
    <d v="2024-06-10T00:00:00"/>
    <x v="5"/>
    <x v="159"/>
    <n v="2"/>
    <n v="34.99"/>
    <n v="69.98"/>
    <x v="2"/>
    <x v="0"/>
    <x v="5"/>
    <x v="0"/>
    <n v="6"/>
  </r>
  <r>
    <x v="162"/>
    <d v="2024-06-11T00:00:00"/>
    <x v="0"/>
    <x v="160"/>
    <n v="1"/>
    <n v="1199.99"/>
    <n v="1199.99"/>
    <x v="0"/>
    <x v="0"/>
    <x v="5"/>
    <x v="0"/>
    <n v="6"/>
  </r>
  <r>
    <x v="163"/>
    <d v="2024-06-12T00:00:00"/>
    <x v="1"/>
    <x v="161"/>
    <n v="1"/>
    <n v="199.99"/>
    <n v="199.99"/>
    <x v="1"/>
    <x v="1"/>
    <x v="5"/>
    <x v="0"/>
    <n v="6"/>
  </r>
  <r>
    <x v="164"/>
    <d v="2024-06-13T00:00:00"/>
    <x v="2"/>
    <x v="162"/>
    <n v="5"/>
    <n v="29.99"/>
    <n v="149.94999999999999"/>
    <x v="2"/>
    <x v="2"/>
    <x v="5"/>
    <x v="0"/>
    <n v="6"/>
  </r>
  <r>
    <x v="165"/>
    <d v="2024-06-14T00:00:00"/>
    <x v="3"/>
    <x v="163"/>
    <n v="4"/>
    <n v="8.99"/>
    <n v="35.96"/>
    <x v="0"/>
    <x v="0"/>
    <x v="5"/>
    <x v="0"/>
    <n v="6"/>
  </r>
  <r>
    <x v="166"/>
    <d v="2024-06-15T00:00:00"/>
    <x v="4"/>
    <x v="164"/>
    <n v="1"/>
    <n v="16.989999999999998"/>
    <n v="16.989999999999998"/>
    <x v="1"/>
    <x v="1"/>
    <x v="5"/>
    <x v="0"/>
    <n v="6"/>
  </r>
  <r>
    <x v="167"/>
    <d v="2024-06-16T00:00:00"/>
    <x v="5"/>
    <x v="165"/>
    <n v="3"/>
    <n v="49.99"/>
    <n v="149.97"/>
    <x v="2"/>
    <x v="0"/>
    <x v="5"/>
    <x v="0"/>
    <n v="6"/>
  </r>
  <r>
    <x v="168"/>
    <d v="2024-06-17T00:00:00"/>
    <x v="0"/>
    <x v="166"/>
    <n v="1"/>
    <n v="699.99"/>
    <n v="699.99"/>
    <x v="0"/>
    <x v="0"/>
    <x v="5"/>
    <x v="0"/>
    <n v="6"/>
  </r>
  <r>
    <x v="169"/>
    <d v="2024-06-18T00:00:00"/>
    <x v="1"/>
    <x v="167"/>
    <n v="2"/>
    <n v="139.99"/>
    <n v="279.98"/>
    <x v="1"/>
    <x v="1"/>
    <x v="5"/>
    <x v="0"/>
    <n v="6"/>
  </r>
  <r>
    <x v="170"/>
    <d v="2024-06-19T00:00:00"/>
    <x v="2"/>
    <x v="168"/>
    <n v="3"/>
    <n v="34.99"/>
    <n v="104.97"/>
    <x v="2"/>
    <x v="2"/>
    <x v="5"/>
    <x v="0"/>
    <n v="6"/>
  </r>
  <r>
    <x v="171"/>
    <d v="2024-06-20T00:00:00"/>
    <x v="3"/>
    <x v="169"/>
    <n v="2"/>
    <n v="9.99"/>
    <n v="19.98"/>
    <x v="0"/>
    <x v="0"/>
    <x v="5"/>
    <x v="0"/>
    <n v="6"/>
  </r>
  <r>
    <x v="172"/>
    <d v="2024-06-21T00:00:00"/>
    <x v="4"/>
    <x v="170"/>
    <n v="1"/>
    <n v="29.5"/>
    <n v="29.5"/>
    <x v="1"/>
    <x v="1"/>
    <x v="5"/>
    <x v="0"/>
    <n v="6"/>
  </r>
  <r>
    <x v="173"/>
    <d v="2024-06-22T00:00:00"/>
    <x v="5"/>
    <x v="171"/>
    <n v="1"/>
    <n v="699.99"/>
    <n v="699.99"/>
    <x v="2"/>
    <x v="0"/>
    <x v="5"/>
    <x v="0"/>
    <n v="6"/>
  </r>
  <r>
    <x v="174"/>
    <d v="2024-06-23T00:00:00"/>
    <x v="0"/>
    <x v="172"/>
    <n v="3"/>
    <n v="49.99"/>
    <n v="149.97"/>
    <x v="0"/>
    <x v="0"/>
    <x v="5"/>
    <x v="0"/>
    <n v="6"/>
  </r>
  <r>
    <x v="175"/>
    <d v="2024-06-24T00:00:00"/>
    <x v="1"/>
    <x v="173"/>
    <n v="2"/>
    <n v="49.99"/>
    <n v="99.98"/>
    <x v="1"/>
    <x v="1"/>
    <x v="5"/>
    <x v="0"/>
    <n v="6"/>
  </r>
  <r>
    <x v="176"/>
    <d v="2024-06-25T00:00:00"/>
    <x v="2"/>
    <x v="174"/>
    <n v="4"/>
    <n v="14.9"/>
    <n v="59.6"/>
    <x v="2"/>
    <x v="2"/>
    <x v="5"/>
    <x v="0"/>
    <n v="6"/>
  </r>
  <r>
    <x v="177"/>
    <d v="2024-06-26T00:00:00"/>
    <x v="3"/>
    <x v="175"/>
    <n v="3"/>
    <n v="11.99"/>
    <n v="35.97"/>
    <x v="0"/>
    <x v="0"/>
    <x v="5"/>
    <x v="0"/>
    <n v="6"/>
  </r>
  <r>
    <x v="178"/>
    <d v="2024-06-27T00:00:00"/>
    <x v="4"/>
    <x v="176"/>
    <n v="2"/>
    <n v="34"/>
    <n v="68"/>
    <x v="1"/>
    <x v="1"/>
    <x v="5"/>
    <x v="0"/>
    <n v="6"/>
  </r>
  <r>
    <x v="179"/>
    <d v="2024-06-28T00:00:00"/>
    <x v="5"/>
    <x v="177"/>
    <n v="1"/>
    <n v="146"/>
    <n v="146"/>
    <x v="2"/>
    <x v="0"/>
    <x v="5"/>
    <x v="0"/>
    <n v="6"/>
  </r>
  <r>
    <x v="180"/>
    <d v="2024-06-29T00:00:00"/>
    <x v="0"/>
    <x v="178"/>
    <n v="1"/>
    <n v="649.99"/>
    <n v="649.99"/>
    <x v="0"/>
    <x v="0"/>
    <x v="5"/>
    <x v="0"/>
    <n v="6"/>
  </r>
  <r>
    <x v="181"/>
    <d v="2024-06-30T00:00:00"/>
    <x v="1"/>
    <x v="179"/>
    <n v="1"/>
    <n v="399.99"/>
    <n v="399.99"/>
    <x v="1"/>
    <x v="1"/>
    <x v="5"/>
    <x v="0"/>
    <n v="6"/>
  </r>
  <r>
    <x v="182"/>
    <d v="2024-07-01T00:00:00"/>
    <x v="2"/>
    <x v="180"/>
    <n v="3"/>
    <n v="59.99"/>
    <n v="179.97"/>
    <x v="2"/>
    <x v="2"/>
    <x v="6"/>
    <x v="0"/>
    <n v="7"/>
  </r>
  <r>
    <x v="183"/>
    <d v="2024-07-02T00:00:00"/>
    <x v="3"/>
    <x v="181"/>
    <n v="2"/>
    <n v="12.99"/>
    <n v="25.98"/>
    <x v="0"/>
    <x v="0"/>
    <x v="6"/>
    <x v="0"/>
    <n v="7"/>
  </r>
  <r>
    <x v="184"/>
    <d v="2024-07-03T00:00:00"/>
    <x v="4"/>
    <x v="182"/>
    <n v="1"/>
    <n v="190"/>
    <n v="190"/>
    <x v="1"/>
    <x v="1"/>
    <x v="6"/>
    <x v="0"/>
    <n v="7"/>
  </r>
  <r>
    <x v="185"/>
    <d v="2024-07-04T00:00:00"/>
    <x v="5"/>
    <x v="183"/>
    <n v="1"/>
    <n v="499.95"/>
    <n v="499.95"/>
    <x v="2"/>
    <x v="0"/>
    <x v="6"/>
    <x v="0"/>
    <n v="7"/>
  </r>
  <r>
    <x v="186"/>
    <d v="2024-07-05T00:00:00"/>
    <x v="0"/>
    <x v="184"/>
    <n v="1"/>
    <n v="399"/>
    <n v="399"/>
    <x v="0"/>
    <x v="0"/>
    <x v="6"/>
    <x v="0"/>
    <n v="7"/>
  </r>
  <r>
    <x v="187"/>
    <d v="2024-07-06T00:00:00"/>
    <x v="1"/>
    <x v="185"/>
    <n v="2"/>
    <n v="199"/>
    <n v="398"/>
    <x v="1"/>
    <x v="1"/>
    <x v="6"/>
    <x v="0"/>
    <n v="7"/>
  </r>
  <r>
    <x v="188"/>
    <d v="2024-07-07T00:00:00"/>
    <x v="2"/>
    <x v="186"/>
    <n v="4"/>
    <n v="34.99"/>
    <n v="139.96"/>
    <x v="2"/>
    <x v="2"/>
    <x v="6"/>
    <x v="0"/>
    <n v="7"/>
  </r>
  <r>
    <x v="189"/>
    <d v="2024-07-08T00:00:00"/>
    <x v="3"/>
    <x v="87"/>
    <n v="3"/>
    <n v="10.99"/>
    <n v="32.97"/>
    <x v="0"/>
    <x v="0"/>
    <x v="6"/>
    <x v="0"/>
    <n v="7"/>
  </r>
  <r>
    <x v="190"/>
    <d v="2024-07-09T00:00:00"/>
    <x v="4"/>
    <x v="187"/>
    <n v="1"/>
    <n v="18"/>
    <n v="18"/>
    <x v="1"/>
    <x v="1"/>
    <x v="6"/>
    <x v="0"/>
    <n v="7"/>
  </r>
  <r>
    <x v="191"/>
    <d v="2024-07-10T00:00:00"/>
    <x v="5"/>
    <x v="188"/>
    <n v="1"/>
    <n v="169.95"/>
    <n v="169.95"/>
    <x v="2"/>
    <x v="0"/>
    <x v="6"/>
    <x v="0"/>
    <n v="7"/>
  </r>
  <r>
    <x v="192"/>
    <d v="2024-07-11T00:00:00"/>
    <x v="0"/>
    <x v="189"/>
    <n v="1"/>
    <n v="199.99"/>
    <n v="199.99"/>
    <x v="0"/>
    <x v="0"/>
    <x v="6"/>
    <x v="0"/>
    <n v="7"/>
  </r>
  <r>
    <x v="193"/>
    <d v="2024-07-12T00:00:00"/>
    <x v="1"/>
    <x v="190"/>
    <n v="1"/>
    <n v="199.95"/>
    <n v="199.95"/>
    <x v="1"/>
    <x v="1"/>
    <x v="6"/>
    <x v="0"/>
    <n v="7"/>
  </r>
  <r>
    <x v="194"/>
    <d v="2024-07-13T00:00:00"/>
    <x v="2"/>
    <x v="191"/>
    <n v="2"/>
    <n v="179.99"/>
    <n v="359.98"/>
    <x v="2"/>
    <x v="2"/>
    <x v="6"/>
    <x v="0"/>
    <n v="7"/>
  </r>
  <r>
    <x v="195"/>
    <d v="2024-07-14T00:00:00"/>
    <x v="3"/>
    <x v="192"/>
    <n v="2"/>
    <n v="11.99"/>
    <n v="23.98"/>
    <x v="0"/>
    <x v="0"/>
    <x v="6"/>
    <x v="0"/>
    <n v="7"/>
  </r>
  <r>
    <x v="196"/>
    <d v="2024-07-15T00:00:00"/>
    <x v="4"/>
    <x v="193"/>
    <n v="1"/>
    <n v="125"/>
    <n v="125"/>
    <x v="1"/>
    <x v="1"/>
    <x v="6"/>
    <x v="0"/>
    <n v="7"/>
  </r>
  <r>
    <x v="197"/>
    <d v="2024-07-16T00:00:00"/>
    <x v="5"/>
    <x v="194"/>
    <n v="1"/>
    <n v="449.99"/>
    <n v="449.99"/>
    <x v="2"/>
    <x v="0"/>
    <x v="6"/>
    <x v="0"/>
    <n v="7"/>
  </r>
  <r>
    <x v="198"/>
    <d v="2024-07-17T00:00:00"/>
    <x v="0"/>
    <x v="195"/>
    <n v="2"/>
    <n v="179"/>
    <n v="358"/>
    <x v="0"/>
    <x v="0"/>
    <x v="6"/>
    <x v="0"/>
    <n v="7"/>
  </r>
  <r>
    <x v="199"/>
    <d v="2024-07-18T00:00:00"/>
    <x v="1"/>
    <x v="196"/>
    <n v="1"/>
    <n v="99.95"/>
    <n v="99.95"/>
    <x v="1"/>
    <x v="1"/>
    <x v="6"/>
    <x v="0"/>
    <n v="7"/>
  </r>
  <r>
    <x v="200"/>
    <d v="2024-07-19T00:00:00"/>
    <x v="2"/>
    <x v="197"/>
    <n v="3"/>
    <n v="59.99"/>
    <n v="179.97"/>
    <x v="2"/>
    <x v="2"/>
    <x v="6"/>
    <x v="0"/>
    <n v="7"/>
  </r>
  <r>
    <x v="201"/>
    <d v="2024-07-20T00:00:00"/>
    <x v="3"/>
    <x v="198"/>
    <n v="2"/>
    <n v="14.99"/>
    <n v="29.98"/>
    <x v="0"/>
    <x v="0"/>
    <x v="6"/>
    <x v="0"/>
    <n v="7"/>
  </r>
  <r>
    <x v="202"/>
    <d v="2024-07-21T00:00:00"/>
    <x v="4"/>
    <x v="199"/>
    <n v="1"/>
    <n v="52"/>
    <n v="52"/>
    <x v="1"/>
    <x v="1"/>
    <x v="6"/>
    <x v="0"/>
    <n v="7"/>
  </r>
  <r>
    <x v="203"/>
    <d v="2024-07-22T00:00:00"/>
    <x v="5"/>
    <x v="200"/>
    <n v="1"/>
    <n v="399.99"/>
    <n v="399.99"/>
    <x v="2"/>
    <x v="0"/>
    <x v="6"/>
    <x v="0"/>
    <n v="7"/>
  </r>
  <r>
    <x v="204"/>
    <d v="2024-07-23T00:00:00"/>
    <x v="0"/>
    <x v="201"/>
    <n v="1"/>
    <n v="299.99"/>
    <n v="299.99"/>
    <x v="0"/>
    <x v="0"/>
    <x v="6"/>
    <x v="0"/>
    <n v="7"/>
  </r>
  <r>
    <x v="205"/>
    <d v="2024-07-24T00:00:00"/>
    <x v="1"/>
    <x v="202"/>
    <n v="1"/>
    <n v="379.99"/>
    <n v="379.99"/>
    <x v="1"/>
    <x v="1"/>
    <x v="6"/>
    <x v="0"/>
    <n v="7"/>
  </r>
  <r>
    <x v="206"/>
    <d v="2024-07-25T00:00:00"/>
    <x v="2"/>
    <x v="203"/>
    <n v="2"/>
    <n v="98"/>
    <n v="196"/>
    <x v="2"/>
    <x v="2"/>
    <x v="6"/>
    <x v="0"/>
    <n v="7"/>
  </r>
  <r>
    <x v="207"/>
    <d v="2024-07-26T00:00:00"/>
    <x v="3"/>
    <x v="204"/>
    <n v="3"/>
    <n v="16.989999999999998"/>
    <n v="50.97"/>
    <x v="0"/>
    <x v="0"/>
    <x v="6"/>
    <x v="0"/>
    <n v="7"/>
  </r>
  <r>
    <x v="208"/>
    <d v="2024-07-27T00:00:00"/>
    <x v="4"/>
    <x v="205"/>
    <n v="1"/>
    <n v="79"/>
    <n v="79"/>
    <x v="1"/>
    <x v="1"/>
    <x v="6"/>
    <x v="0"/>
    <n v="7"/>
  </r>
  <r>
    <x v="209"/>
    <d v="2024-07-28T00:00:00"/>
    <x v="5"/>
    <x v="206"/>
    <n v="1"/>
    <n v="129"/>
    <n v="129"/>
    <x v="2"/>
    <x v="0"/>
    <x v="6"/>
    <x v="0"/>
    <n v="7"/>
  </r>
  <r>
    <x v="210"/>
    <d v="2024-07-29T00:00:00"/>
    <x v="0"/>
    <x v="207"/>
    <n v="1"/>
    <n v="749.99"/>
    <n v="749.99"/>
    <x v="0"/>
    <x v="0"/>
    <x v="6"/>
    <x v="0"/>
    <n v="7"/>
  </r>
  <r>
    <x v="211"/>
    <d v="2024-07-30T00:00:00"/>
    <x v="1"/>
    <x v="13"/>
    <n v="2"/>
    <n v="169.99"/>
    <n v="339.98"/>
    <x v="1"/>
    <x v="1"/>
    <x v="6"/>
    <x v="0"/>
    <n v="7"/>
  </r>
  <r>
    <x v="212"/>
    <d v="2024-07-31T00:00:00"/>
    <x v="2"/>
    <x v="208"/>
    <n v="4"/>
    <n v="9.9"/>
    <n v="39.6"/>
    <x v="2"/>
    <x v="2"/>
    <x v="6"/>
    <x v="0"/>
    <n v="7"/>
  </r>
  <r>
    <x v="213"/>
    <d v="2024-08-01T00:00:00"/>
    <x v="3"/>
    <x v="169"/>
    <n v="3"/>
    <n v="10.99"/>
    <n v="32.97"/>
    <x v="0"/>
    <x v="0"/>
    <x v="7"/>
    <x v="0"/>
    <n v="8"/>
  </r>
  <r>
    <x v="214"/>
    <d v="2024-08-02T00:00:00"/>
    <x v="4"/>
    <x v="209"/>
    <n v="2"/>
    <n v="29"/>
    <n v="58"/>
    <x v="1"/>
    <x v="1"/>
    <x v="7"/>
    <x v="0"/>
    <n v="8"/>
  </r>
  <r>
    <x v="215"/>
    <d v="2024-08-03T00:00:00"/>
    <x v="5"/>
    <x v="210"/>
    <n v="1"/>
    <n v="349.99"/>
    <n v="349.99"/>
    <x v="2"/>
    <x v="0"/>
    <x v="7"/>
    <x v="0"/>
    <n v="8"/>
  </r>
  <r>
    <x v="216"/>
    <d v="2024-08-04T00:00:00"/>
    <x v="0"/>
    <x v="211"/>
    <n v="1"/>
    <n v="2399"/>
    <n v="2399"/>
    <x v="0"/>
    <x v="0"/>
    <x v="7"/>
    <x v="0"/>
    <n v="8"/>
  </r>
  <r>
    <x v="217"/>
    <d v="2024-08-05T00:00:00"/>
    <x v="1"/>
    <x v="212"/>
    <n v="1"/>
    <n v="449.99"/>
    <n v="449.99"/>
    <x v="1"/>
    <x v="1"/>
    <x v="7"/>
    <x v="0"/>
    <n v="8"/>
  </r>
  <r>
    <x v="218"/>
    <d v="2024-08-06T00:00:00"/>
    <x v="2"/>
    <x v="213"/>
    <n v="3"/>
    <n v="49.99"/>
    <n v="149.97"/>
    <x v="2"/>
    <x v="2"/>
    <x v="7"/>
    <x v="0"/>
    <n v="8"/>
  </r>
  <r>
    <x v="219"/>
    <d v="2024-08-07T00:00:00"/>
    <x v="3"/>
    <x v="214"/>
    <n v="2"/>
    <n v="12.99"/>
    <n v="25.98"/>
    <x v="0"/>
    <x v="0"/>
    <x v="7"/>
    <x v="0"/>
    <n v="8"/>
  </r>
  <r>
    <x v="220"/>
    <d v="2024-08-08T00:00:00"/>
    <x v="4"/>
    <x v="215"/>
    <n v="1"/>
    <n v="27"/>
    <n v="27"/>
    <x v="1"/>
    <x v="1"/>
    <x v="7"/>
    <x v="0"/>
    <n v="8"/>
  </r>
  <r>
    <x v="221"/>
    <d v="2024-08-09T00:00:00"/>
    <x v="5"/>
    <x v="18"/>
    <n v="1"/>
    <n v="599.99"/>
    <n v="599.99"/>
    <x v="2"/>
    <x v="0"/>
    <x v="7"/>
    <x v="0"/>
    <n v="8"/>
  </r>
  <r>
    <x v="222"/>
    <d v="2024-08-10T00:00:00"/>
    <x v="0"/>
    <x v="216"/>
    <n v="4"/>
    <n v="49.99"/>
    <n v="199.96"/>
    <x v="0"/>
    <x v="0"/>
    <x v="7"/>
    <x v="0"/>
    <n v="8"/>
  </r>
  <r>
    <x v="223"/>
    <d v="2024-08-11T00:00:00"/>
    <x v="1"/>
    <x v="217"/>
    <n v="2"/>
    <n v="229.99"/>
    <n v="459.98"/>
    <x v="1"/>
    <x v="1"/>
    <x v="7"/>
    <x v="0"/>
    <n v="8"/>
  </r>
  <r>
    <x v="224"/>
    <d v="2024-08-12T00:00:00"/>
    <x v="2"/>
    <x v="218"/>
    <n v="2"/>
    <n v="44.99"/>
    <n v="89.98"/>
    <x v="2"/>
    <x v="2"/>
    <x v="7"/>
    <x v="0"/>
    <n v="8"/>
  </r>
  <r>
    <x v="225"/>
    <d v="2024-08-13T00:00:00"/>
    <x v="3"/>
    <x v="51"/>
    <n v="3"/>
    <n v="26.99"/>
    <n v="80.97"/>
    <x v="0"/>
    <x v="0"/>
    <x v="7"/>
    <x v="0"/>
    <n v="8"/>
  </r>
  <r>
    <x v="226"/>
    <d v="2024-08-14T00:00:00"/>
    <x v="4"/>
    <x v="219"/>
    <n v="1"/>
    <n v="6.7"/>
    <n v="6.7"/>
    <x v="1"/>
    <x v="1"/>
    <x v="7"/>
    <x v="0"/>
    <n v="8"/>
  </r>
  <r>
    <x v="227"/>
    <d v="2024-08-15T00:00:00"/>
    <x v="5"/>
    <x v="220"/>
    <n v="2"/>
    <n v="149.94999999999999"/>
    <n v="299.89999999999998"/>
    <x v="2"/>
    <x v="0"/>
    <x v="7"/>
    <x v="0"/>
    <n v="8"/>
  </r>
  <r>
    <x v="228"/>
    <d v="2024-08-16T00:00:00"/>
    <x v="0"/>
    <x v="221"/>
    <n v="1"/>
    <n v="169"/>
    <n v="169"/>
    <x v="0"/>
    <x v="0"/>
    <x v="7"/>
    <x v="0"/>
    <n v="8"/>
  </r>
  <r>
    <x v="229"/>
    <d v="2024-08-17T00:00:00"/>
    <x v="1"/>
    <x v="222"/>
    <n v="1"/>
    <n v="599"/>
    <n v="599"/>
    <x v="1"/>
    <x v="1"/>
    <x v="7"/>
    <x v="0"/>
    <n v="8"/>
  </r>
  <r>
    <x v="230"/>
    <d v="2024-08-18T00:00:00"/>
    <x v="2"/>
    <x v="223"/>
    <n v="4"/>
    <n v="64.989999999999995"/>
    <n v="259.95999999999998"/>
    <x v="2"/>
    <x v="2"/>
    <x v="7"/>
    <x v="0"/>
    <n v="8"/>
  </r>
  <r>
    <x v="231"/>
    <d v="2024-08-19T00:00:00"/>
    <x v="3"/>
    <x v="9"/>
    <n v="2"/>
    <n v="9.99"/>
    <n v="19.98"/>
    <x v="0"/>
    <x v="0"/>
    <x v="7"/>
    <x v="0"/>
    <n v="8"/>
  </r>
  <r>
    <x v="232"/>
    <d v="2024-08-20T00:00:00"/>
    <x v="4"/>
    <x v="224"/>
    <n v="1"/>
    <n v="24"/>
    <n v="24"/>
    <x v="1"/>
    <x v="1"/>
    <x v="7"/>
    <x v="0"/>
    <n v="8"/>
  </r>
  <r>
    <x v="233"/>
    <d v="2024-08-21T00:00:00"/>
    <x v="5"/>
    <x v="225"/>
    <n v="3"/>
    <n v="32.950000000000003"/>
    <n v="98.85"/>
    <x v="2"/>
    <x v="0"/>
    <x v="7"/>
    <x v="0"/>
    <n v="8"/>
  </r>
  <r>
    <x v="234"/>
    <d v="2024-08-22T00:00:00"/>
    <x v="0"/>
    <x v="226"/>
    <n v="1"/>
    <n v="299"/>
    <n v="299"/>
    <x v="0"/>
    <x v="0"/>
    <x v="7"/>
    <x v="0"/>
    <n v="8"/>
  </r>
  <r>
    <x v="235"/>
    <d v="2024-08-23T00:00:00"/>
    <x v="1"/>
    <x v="227"/>
    <n v="1"/>
    <n v="159.99"/>
    <n v="159.99"/>
    <x v="1"/>
    <x v="1"/>
    <x v="7"/>
    <x v="0"/>
    <n v="8"/>
  </r>
  <r>
    <x v="236"/>
    <d v="2024-08-24T00:00:00"/>
    <x v="2"/>
    <x v="228"/>
    <n v="3"/>
    <n v="90"/>
    <n v="270"/>
    <x v="2"/>
    <x v="2"/>
    <x v="7"/>
    <x v="0"/>
    <n v="8"/>
  </r>
  <r>
    <x v="237"/>
    <d v="2024-08-25T00:00:00"/>
    <x v="3"/>
    <x v="229"/>
    <n v="3"/>
    <n v="10.99"/>
    <n v="32.97"/>
    <x v="0"/>
    <x v="0"/>
    <x v="7"/>
    <x v="0"/>
    <n v="8"/>
  </r>
  <r>
    <x v="238"/>
    <d v="2024-08-26T00:00:00"/>
    <x v="4"/>
    <x v="230"/>
    <n v="1"/>
    <n v="55"/>
    <n v="55"/>
    <x v="1"/>
    <x v="1"/>
    <x v="7"/>
    <x v="0"/>
    <n v="8"/>
  </r>
  <r>
    <x v="239"/>
    <d v="2024-08-27T00:00:00"/>
    <x v="5"/>
    <x v="231"/>
    <n v="2"/>
    <n v="29.99"/>
    <n v="59.98"/>
    <x v="2"/>
    <x v="0"/>
    <x v="7"/>
    <x v="0"/>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9A37BC-F3CA-446F-879B-A445A2487BFD}" name="Revenue by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ategory">
  <location ref="F10:G17" firstHeaderRow="1" firstDataRow="1" firstDataCol="1"/>
  <pivotFields count="12">
    <pivotField showAll="0"/>
    <pivotField numFmtId="14" showAll="0"/>
    <pivotField axis="axisRow" showAll="0">
      <items count="7">
        <item x="4"/>
        <item x="3"/>
        <item x="2"/>
        <item x="0"/>
        <item x="1"/>
        <item x="5"/>
        <item t="default"/>
      </items>
    </pivotField>
    <pivotField showAll="0"/>
    <pivotField showAll="0"/>
    <pivotField showAll="0"/>
    <pivotField dataField="1" showAll="0"/>
    <pivotField showAll="0">
      <items count="4">
        <item x="2"/>
        <item x="1"/>
        <item x="0"/>
        <item t="default"/>
      </items>
    </pivotField>
    <pivotField showAll="0">
      <items count="4">
        <item x="0"/>
        <item x="2"/>
        <item x="1"/>
        <item t="default"/>
      </items>
    </pivotField>
    <pivotField showAll="0"/>
    <pivotField showAll="0">
      <items count="2">
        <item x="0"/>
        <item t="default"/>
      </items>
    </pivotField>
    <pivotField showAll="0"/>
  </pivotFields>
  <rowFields count="1">
    <field x="2"/>
  </rowFields>
  <rowItems count="7">
    <i>
      <x/>
    </i>
    <i>
      <x v="1"/>
    </i>
    <i>
      <x v="2"/>
    </i>
    <i>
      <x v="3"/>
    </i>
    <i>
      <x v="4"/>
    </i>
    <i>
      <x v="5"/>
    </i>
    <i t="grand">
      <x/>
    </i>
  </rowItems>
  <colItems count="1">
    <i/>
  </colItems>
  <dataFields count="1">
    <dataField name="Sum of Total Revenue" fld="6" baseField="0" baseItem="0" numFmtId="164"/>
  </dataFields>
  <formats count="1">
    <format dxfId="0">
      <pivotArea outline="0" collapsedLevelsAreSubtotals="1" fieldPosition="0"/>
    </format>
  </formats>
  <chartFormats count="1">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4B46BB-E7C5-4205-8A6C-71C37A7AEF35}" name="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gion">
  <location ref="F3:G7" firstHeaderRow="1" firstDataRow="1" firstDataCol="1"/>
  <pivotFields count="12">
    <pivotField showAll="0"/>
    <pivotField numFmtId="14" showAll="0"/>
    <pivotField showAll="0">
      <items count="7">
        <item x="4"/>
        <item x="3"/>
        <item x="2"/>
        <item x="0"/>
        <item x="1"/>
        <item x="5"/>
        <item t="default"/>
      </items>
    </pivotField>
    <pivotField showAll="0"/>
    <pivotField showAll="0"/>
    <pivotField showAll="0"/>
    <pivotField dataField="1" showAll="0"/>
    <pivotField axis="axisRow" showAll="0">
      <items count="4">
        <item x="2"/>
        <item x="1"/>
        <item x="0"/>
        <item t="default"/>
      </items>
    </pivotField>
    <pivotField showAll="0">
      <items count="4">
        <item x="0"/>
        <item x="2"/>
        <item x="1"/>
        <item t="default"/>
      </items>
    </pivotField>
    <pivotField showAll="0"/>
    <pivotField showAll="0">
      <items count="2">
        <item x="0"/>
        <item t="default"/>
      </items>
    </pivotField>
    <pivotField showAll="0"/>
  </pivotFields>
  <rowFields count="1">
    <field x="7"/>
  </rowFields>
  <rowItems count="4">
    <i>
      <x/>
    </i>
    <i>
      <x v="1"/>
    </i>
    <i>
      <x v="2"/>
    </i>
    <i t="grand">
      <x/>
    </i>
  </rowItems>
  <colItems count="1">
    <i/>
  </colItems>
  <dataFields count="1">
    <dataField name="Sum of Total Revenue" fld="6" baseField="0" baseItem="0" numFmtId="164"/>
  </dataFields>
  <formats count="1">
    <format dxfId="1">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940501-AE86-4F9D-A558-6D2B5C5B289C}" name="Overall 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ransaction Id">
  <location ref="A3:C244" firstHeaderRow="0" firstDataRow="1" firstDataCol="1"/>
  <pivotFields count="12">
    <pivotField axis="axisRow"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umFmtId="14" showAll="0"/>
    <pivotField showAll="0">
      <items count="7">
        <item x="4"/>
        <item x="3"/>
        <item x="2"/>
        <item x="0"/>
        <item x="1"/>
        <item x="5"/>
        <item t="default"/>
      </items>
    </pivotField>
    <pivotField showAll="0"/>
    <pivotField dataField="1" showAll="0"/>
    <pivotField showAll="0"/>
    <pivotField dataField="1" showAll="0"/>
    <pivotField showAll="0">
      <items count="4">
        <item x="2"/>
        <item x="1"/>
        <item x="0"/>
        <item t="default"/>
      </items>
    </pivotField>
    <pivotField showAll="0">
      <items count="4">
        <item x="0"/>
        <item x="2"/>
        <item x="1"/>
        <item t="default"/>
      </items>
    </pivotField>
    <pivotField showAll="0"/>
    <pivotField showAll="0">
      <items count="2">
        <item x="0"/>
        <item t="default"/>
      </items>
    </pivotField>
    <pivotField showAll="0"/>
  </pivotFields>
  <rowFields count="1">
    <field x="0"/>
  </rowFields>
  <rowItems count="2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t="grand">
      <x/>
    </i>
  </rowItems>
  <colFields count="1">
    <field x="-2"/>
  </colFields>
  <colItems count="2">
    <i>
      <x/>
    </i>
    <i i="1">
      <x v="1"/>
    </i>
  </colItems>
  <dataFields count="2">
    <dataField name="Sum of Units Sold" fld="4" baseField="0" baseItem="0" numFmtId="1"/>
    <dataField name="Sum of Total Revenue" fld="6" baseField="0" baseItem="0" numFmtId="164"/>
  </dataFields>
  <formats count="11">
    <format dxfId="12">
      <pivotArea outline="0" collapsedLevelsAreSubtotals="1" fieldPosition="0">
        <references count="1">
          <reference field="4294967294" count="1" selected="0">
            <x v="1"/>
          </reference>
        </references>
      </pivotArea>
    </format>
    <format dxfId="11">
      <pivotArea dataOnly="0" labelOnly="1" outline="0" fieldPosition="0">
        <references count="1">
          <reference field="4294967294" count="1">
            <x v="1"/>
          </reference>
        </references>
      </pivotArea>
    </format>
    <format dxfId="10">
      <pivotArea outline="0" collapsedLevelsAreSubtotals="1" fieldPosition="0">
        <references count="1">
          <reference field="4294967294" count="1" selected="0">
            <x v="0"/>
          </reference>
        </references>
      </pivotArea>
    </format>
    <format dxfId="9">
      <pivotArea dataOnly="0" labelOnly="1" outline="0" fieldPosition="0">
        <references count="1">
          <reference field="4294967294" count="1">
            <x v="0"/>
          </reference>
        </references>
      </pivotArea>
    </format>
    <format dxfId="8">
      <pivotArea field="0" type="button" dataOnly="0" labelOnly="1" outline="0" axis="axisRow" fieldPosition="0"/>
    </format>
    <format dxfId="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
      <pivotArea dataOnly="0" labelOnly="1" fieldPosition="0">
        <references count="1">
          <reference field="0" count="4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reference>
        </references>
      </pivotArea>
    </format>
    <format dxfId="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DBBFD3-A8B6-477B-A466-1D7AB26094B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Month">
  <location ref="F28:G37" firstHeaderRow="1" firstDataRow="1" firstDataCol="1"/>
  <pivotFields count="12">
    <pivotField showAll="0"/>
    <pivotField numFmtId="14" showAll="0"/>
    <pivotField showAll="0">
      <items count="7">
        <item x="4"/>
        <item x="3"/>
        <item x="2"/>
        <item x="0"/>
        <item x="1"/>
        <item x="5"/>
        <item t="default"/>
      </items>
    </pivotField>
    <pivotField showAll="0"/>
    <pivotField showAll="0"/>
    <pivotField showAll="0"/>
    <pivotField dataField="1" showAll="0"/>
    <pivotField showAll="0">
      <items count="4">
        <item x="2"/>
        <item x="1"/>
        <item x="0"/>
        <item t="default"/>
      </items>
    </pivotField>
    <pivotField showAll="0">
      <items count="4">
        <item x="0"/>
        <item x="2"/>
        <item x="1"/>
        <item t="default"/>
      </items>
    </pivotField>
    <pivotField axis="axisRow" showAll="0">
      <items count="9">
        <item x="0"/>
        <item x="1"/>
        <item x="2"/>
        <item x="3"/>
        <item x="4"/>
        <item x="5"/>
        <item x="6"/>
        <item x="7"/>
        <item t="default"/>
      </items>
    </pivotField>
    <pivotField showAll="0">
      <items count="2">
        <item x="0"/>
        <item t="default"/>
      </items>
    </pivotField>
    <pivotField showAll="0"/>
  </pivotFields>
  <rowFields count="1">
    <field x="9"/>
  </rowFields>
  <rowItems count="9">
    <i>
      <x/>
    </i>
    <i>
      <x v="1"/>
    </i>
    <i>
      <x v="2"/>
    </i>
    <i>
      <x v="3"/>
    </i>
    <i>
      <x v="4"/>
    </i>
    <i>
      <x v="5"/>
    </i>
    <i>
      <x v="6"/>
    </i>
    <i>
      <x v="7"/>
    </i>
    <i t="grand">
      <x/>
    </i>
  </rowItems>
  <colItems count="1">
    <i/>
  </colItems>
  <dataFields count="1">
    <dataField name="Sum of Total Revenue" fld="6" baseField="0" baseItem="0" numFmtId="164"/>
  </dataFields>
  <formats count="1">
    <format dxfId="13">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C19818-B9B5-4FB4-93A0-A4F2DD29D4B4}" name="Payment Method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Method">
  <location ref="F20:G24" firstHeaderRow="1" firstDataRow="1" firstDataCol="1"/>
  <pivotFields count="12">
    <pivotField showAll="0"/>
    <pivotField numFmtId="14" showAll="0"/>
    <pivotField showAll="0">
      <items count="7">
        <item x="4"/>
        <item x="3"/>
        <item x="2"/>
        <item x="0"/>
        <item x="1"/>
        <item x="5"/>
        <item t="default"/>
      </items>
    </pivotField>
    <pivotField showAll="0"/>
    <pivotField showAll="0"/>
    <pivotField showAll="0"/>
    <pivotField dataField="1" showAll="0"/>
    <pivotField showAll="0">
      <items count="4">
        <item x="2"/>
        <item x="1"/>
        <item x="0"/>
        <item t="default"/>
      </items>
    </pivotField>
    <pivotField axis="axisRow" showAll="0">
      <items count="4">
        <item x="0"/>
        <item x="2"/>
        <item x="1"/>
        <item t="default"/>
      </items>
    </pivotField>
    <pivotField showAll="0"/>
    <pivotField showAll="0">
      <items count="2">
        <item x="0"/>
        <item t="default"/>
      </items>
    </pivotField>
    <pivotField showAll="0"/>
  </pivotFields>
  <rowFields count="1">
    <field x="8"/>
  </rowFields>
  <rowItems count="4">
    <i>
      <x/>
    </i>
    <i>
      <x v="1"/>
    </i>
    <i>
      <x v="2"/>
    </i>
    <i t="grand">
      <x/>
    </i>
  </rowItems>
  <colItems count="1">
    <i/>
  </colItems>
  <dataFields count="1">
    <dataField name="Sum of Total Revenue" fld="6" baseField="0" baseItem="0" numFmtId="164"/>
  </dataFields>
  <formats count="1">
    <format dxfId="14">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C22C98-2CC2-4EBC-89B6-F4D7433204B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roduct Name">
  <location ref="J3:K14" firstHeaderRow="1" firstDataRow="1" firstDataCol="1"/>
  <pivotFields count="12">
    <pivotField showAll="0"/>
    <pivotField numFmtId="14" showAll="0"/>
    <pivotField showAll="0">
      <items count="7">
        <item x="4"/>
        <item x="3"/>
        <item x="2"/>
        <item x="0"/>
        <item x="1"/>
        <item x="5"/>
        <item t="default"/>
      </items>
    </pivotField>
    <pivotField axis="axisRow" showAll="0" measureFilter="1" sortType="descending">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2"/>
        <item x="1"/>
        <item x="0"/>
        <item t="default"/>
      </items>
    </pivotField>
    <pivotField showAll="0">
      <items count="4">
        <item x="0"/>
        <item x="2"/>
        <item x="1"/>
        <item t="default"/>
      </items>
    </pivotField>
    <pivotField showAll="0"/>
    <pivotField showAll="0">
      <items count="2">
        <item x="0"/>
        <item t="default"/>
      </items>
    </pivotField>
    <pivotField showAll="0"/>
  </pivotFields>
  <rowFields count="1">
    <field x="3"/>
  </rowFields>
  <rowItems count="11">
    <i>
      <x v="39"/>
    </i>
    <i>
      <x v="118"/>
    </i>
    <i>
      <x v="126"/>
    </i>
    <i>
      <x v="19"/>
    </i>
    <i>
      <x v="103"/>
    </i>
    <i>
      <x v="153"/>
    </i>
    <i>
      <x v="94"/>
    </i>
    <i>
      <x v="162"/>
    </i>
    <i>
      <x v="79"/>
    </i>
    <i>
      <x v="167"/>
    </i>
    <i t="grand">
      <x/>
    </i>
  </rowItems>
  <colItems count="1">
    <i/>
  </colItems>
  <dataFields count="1">
    <dataField name="Sum of Total Revenue" fld="6" baseField="0" baseItem="0" numFmtId="164"/>
  </dataFields>
  <formats count="1">
    <format dxfId="15">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53899DD-15C2-417A-9272-56BCC8BA456F}" sourceName="Product Category">
  <pivotTables>
    <pivotTable tabId="6" name="Revenue by Product Category"/>
    <pivotTable tabId="6" name="Overall KPIs"/>
    <pivotTable tabId="6" name="Payment Method Analysis"/>
    <pivotTable tabId="6" name="PivotTable6"/>
    <pivotTable tabId="6" name="PivotTable8"/>
    <pivotTable tabId="6" name="Revenue by region"/>
  </pivotTables>
  <data>
    <tabular pivotCacheId="997547924">
      <items count="6">
        <i x="4" s="1"/>
        <i x="3" s="1"/>
        <i x="2" s="1"/>
        <i x="0"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E4D667-36BA-4CBE-A5D1-969570B5CCDF}" sourceName="Region">
  <pivotTables>
    <pivotTable tabId="6" name="Revenue by Product Category"/>
    <pivotTable tabId="6" name="Overall KPIs"/>
    <pivotTable tabId="6" name="Payment Method Analysis"/>
    <pivotTable tabId="6" name="PivotTable6"/>
    <pivotTable tabId="6" name="PivotTable8"/>
    <pivotTable tabId="6" name="Revenue by region"/>
  </pivotTables>
  <data>
    <tabular pivotCacheId="99754792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8074A23-9756-4696-89A2-7E4ACE209A65}" sourceName="Payment Method">
  <pivotTables>
    <pivotTable tabId="6" name="Revenue by Product Category"/>
    <pivotTable tabId="6" name="Overall KPIs"/>
    <pivotTable tabId="6" name="Payment Method Analysis"/>
    <pivotTable tabId="6" name="PivotTable6"/>
    <pivotTable tabId="6" name="PivotTable8"/>
    <pivotTable tabId="6" name="Revenue by region"/>
  </pivotTables>
  <data>
    <tabular pivotCacheId="99754792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C04BD5-F7F1-450E-A6AE-8B95B8473D82}" sourceName="YEAR">
  <pivotTables>
    <pivotTable tabId="6" name="Revenue by Product Category"/>
    <pivotTable tabId="6" name="Overall KPIs"/>
    <pivotTable tabId="6" name="Payment Method Analysis"/>
    <pivotTable tabId="6" name="PivotTable6"/>
    <pivotTable tabId="6" name="PivotTable8"/>
    <pivotTable tabId="6" name="Revenue by region"/>
  </pivotTables>
  <data>
    <tabular pivotCacheId="997547924">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B472CEF6-A6E8-4C93-A4C1-8A5E47CE7D91}" cache="Slicer_Product_Category" caption="Product Category" rowHeight="234950"/>
  <slicer name="Region" xr10:uid="{634B55E3-5974-45F1-B3D8-4A1EAC28BBD8}" cache="Slicer_Region" caption="Region" rowHeight="234950"/>
  <slicer name="Payment Method" xr10:uid="{CF9AE956-532C-4C2E-9064-7C4FA64E192C}" cache="Slicer_Payment_Method" caption="Payment Method" rowHeight="234950"/>
  <slicer name="YEAR" xr10:uid="{9CBC3047-561D-4751-BA0B-0BACC9234099}"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9BBDBD-185F-434B-82B5-1CC002F3A782}" name="Table1" displayName="Table1" ref="A1:L241" totalsRowShown="0">
  <autoFilter ref="A1:L241" xr:uid="{BA9BBDBD-185F-434B-82B5-1CC002F3A782}"/>
  <tableColumns count="12">
    <tableColumn id="1" xr3:uid="{C48347D2-DE52-4B26-B504-1483AC5438CA}" name="Transaction ID" dataDxfId="23"/>
    <tableColumn id="2" xr3:uid="{6947D7E3-DBB7-4CD1-9CFC-AC9E9A24FD8B}" name="Date" dataDxfId="22"/>
    <tableColumn id="3" xr3:uid="{C3926043-40DA-451A-969A-8614D774A82A}" name="Product Category"/>
    <tableColumn id="4" xr3:uid="{126A68F8-59C3-402A-9010-77710839F994}" name="Product Name"/>
    <tableColumn id="5" xr3:uid="{D1A3F06D-7960-4A4F-84E4-DD7BDE1D3E41}" name="Units Sold" dataDxfId="21"/>
    <tableColumn id="6" xr3:uid="{B1591C8E-53AC-4293-8C5B-AE43A23BD778}" name="Unit Price" dataDxfId="20"/>
    <tableColumn id="7" xr3:uid="{DBBF4A27-035F-4C15-A616-E698D3C34E1F}" name="Total Revenue" dataDxfId="19"/>
    <tableColumn id="8" xr3:uid="{4BED15CA-DA33-4033-BD3D-49CF8A252895}" name="Region"/>
    <tableColumn id="9" xr3:uid="{C4C132C1-647B-48A6-9260-20DA13417579}" name="Payment Method"/>
    <tableColumn id="11" xr3:uid="{5F8A55A6-CFA2-4402-93B1-062F4B042F3F}" name="Month" dataDxfId="18">
      <calculatedColumnFormula>TEXT(Table1[[#This Row],[Date]],"mmm")</calculatedColumnFormula>
    </tableColumn>
    <tableColumn id="12" xr3:uid="{34E6A924-EE18-4047-A359-0CED6BC3302F}" name="YEAR" dataDxfId="17">
      <calculatedColumnFormula>YEAR(Table1[[#This Row],[Date]])</calculatedColumnFormula>
    </tableColumn>
    <tableColumn id="13" xr3:uid="{6CD45447-077B-4CD3-922F-77CFAB446750}" name="MONTH Numner" dataDxfId="16">
      <calculatedColumnFormula>MONTH(Table1[[#This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A452-630C-4E7B-B7F6-34339C76905D}">
  <dimension ref="A1:L241"/>
  <sheetViews>
    <sheetView tabSelected="1" zoomScale="51" workbookViewId="0">
      <selection activeCell="A4" sqref="A4"/>
    </sheetView>
  </sheetViews>
  <sheetFormatPr defaultRowHeight="14.4" x14ac:dyDescent="0.3"/>
  <cols>
    <col min="1" max="1" width="14.88671875" style="8" customWidth="1"/>
    <col min="2" max="2" width="10.33203125" bestFit="1" customWidth="1"/>
    <col min="3" max="3" width="17.5546875" customWidth="1"/>
    <col min="4" max="4" width="50.109375" bestFit="1" customWidth="1"/>
    <col min="5" max="5" width="11.33203125" style="8" customWidth="1"/>
    <col min="6" max="6" width="11" style="6" customWidth="1"/>
    <col min="7" max="7" width="14.88671875" style="6" customWidth="1"/>
    <col min="8" max="8" width="12.88671875" bestFit="1" customWidth="1"/>
    <col min="9" max="9" width="17.6640625" customWidth="1"/>
    <col min="12" max="12" width="8.88671875" style="8"/>
  </cols>
  <sheetData>
    <row r="1" spans="1:12" x14ac:dyDescent="0.3">
      <c r="A1" s="8" t="s">
        <v>0</v>
      </c>
      <c r="B1" t="s">
        <v>1</v>
      </c>
      <c r="C1" t="s">
        <v>2</v>
      </c>
      <c r="D1" t="s">
        <v>3</v>
      </c>
      <c r="E1" s="8" t="s">
        <v>4</v>
      </c>
      <c r="F1" s="6" t="s">
        <v>5</v>
      </c>
      <c r="G1" s="6" t="s">
        <v>6</v>
      </c>
      <c r="H1" t="s">
        <v>7</v>
      </c>
      <c r="I1" t="s">
        <v>8</v>
      </c>
      <c r="J1" t="s">
        <v>253</v>
      </c>
      <c r="K1" t="s">
        <v>254</v>
      </c>
      <c r="L1" s="8" t="s">
        <v>255</v>
      </c>
    </row>
    <row r="2" spans="1:12" x14ac:dyDescent="0.3">
      <c r="A2" s="8">
        <v>10001</v>
      </c>
      <c r="B2" s="1">
        <v>45292</v>
      </c>
      <c r="C2" t="s">
        <v>9</v>
      </c>
      <c r="D2" t="s">
        <v>10</v>
      </c>
      <c r="E2" s="8">
        <v>2</v>
      </c>
      <c r="F2" s="6">
        <v>999.99</v>
      </c>
      <c r="G2" s="6">
        <v>1999.98</v>
      </c>
      <c r="H2" t="s">
        <v>11</v>
      </c>
      <c r="I2" t="s">
        <v>12</v>
      </c>
      <c r="J2" t="str">
        <f>TEXT(Table1[[#This Row],[Date]],"mmm")</f>
        <v>Jan</v>
      </c>
      <c r="K2">
        <f>YEAR(Table1[[#This Row],[Date]])</f>
        <v>2024</v>
      </c>
      <c r="L2" s="8">
        <f>MONTH(Table1[[#This Row],[Date]])</f>
        <v>1</v>
      </c>
    </row>
    <row r="3" spans="1:12" x14ac:dyDescent="0.3">
      <c r="A3" s="8">
        <v>10002</v>
      </c>
      <c r="B3" s="1">
        <v>45293</v>
      </c>
      <c r="C3" t="s">
        <v>13</v>
      </c>
      <c r="D3" t="s">
        <v>14</v>
      </c>
      <c r="E3" s="8">
        <v>1</v>
      </c>
      <c r="F3" s="6">
        <v>499.99</v>
      </c>
      <c r="G3" s="6">
        <v>499.99</v>
      </c>
      <c r="H3" t="s">
        <v>15</v>
      </c>
      <c r="I3" t="s">
        <v>16</v>
      </c>
      <c r="J3" t="str">
        <f>TEXT(Table1[[#This Row],[Date]],"mmm")</f>
        <v>Jan</v>
      </c>
      <c r="K3">
        <f>YEAR(Table1[[#This Row],[Date]])</f>
        <v>2024</v>
      </c>
      <c r="L3" s="8">
        <f>MONTH(Table1[[#This Row],[Date]])</f>
        <v>1</v>
      </c>
    </row>
    <row r="4" spans="1:12" x14ac:dyDescent="0.3">
      <c r="A4" s="8">
        <v>10003</v>
      </c>
      <c r="B4" s="1">
        <v>45294</v>
      </c>
      <c r="C4" t="s">
        <v>17</v>
      </c>
      <c r="D4" t="s">
        <v>18</v>
      </c>
      <c r="E4" s="8">
        <v>3</v>
      </c>
      <c r="F4" s="6">
        <v>69.989999999999995</v>
      </c>
      <c r="G4" s="6">
        <v>209.97</v>
      </c>
      <c r="H4" t="s">
        <v>19</v>
      </c>
      <c r="I4" t="s">
        <v>20</v>
      </c>
      <c r="J4" t="str">
        <f>TEXT(Table1[[#This Row],[Date]],"mmm")</f>
        <v>Jan</v>
      </c>
      <c r="K4">
        <f>YEAR(Table1[[#This Row],[Date]])</f>
        <v>2024</v>
      </c>
      <c r="L4" s="8">
        <f>MONTH(Table1[[#This Row],[Date]])</f>
        <v>1</v>
      </c>
    </row>
    <row r="5" spans="1:12" x14ac:dyDescent="0.3">
      <c r="A5" s="8">
        <v>10004</v>
      </c>
      <c r="B5" s="1">
        <v>45295</v>
      </c>
      <c r="C5" t="s">
        <v>21</v>
      </c>
      <c r="D5" t="s">
        <v>22</v>
      </c>
      <c r="E5" s="8">
        <v>4</v>
      </c>
      <c r="F5" s="6">
        <v>15.99</v>
      </c>
      <c r="G5" s="6">
        <v>63.96</v>
      </c>
      <c r="H5" t="s">
        <v>11</v>
      </c>
      <c r="I5" t="s">
        <v>12</v>
      </c>
      <c r="J5" t="str">
        <f>TEXT(Table1[[#This Row],[Date]],"mmm")</f>
        <v>Jan</v>
      </c>
      <c r="K5">
        <f>YEAR(Table1[[#This Row],[Date]])</f>
        <v>2024</v>
      </c>
      <c r="L5" s="8">
        <f>MONTH(Table1[[#This Row],[Date]])</f>
        <v>1</v>
      </c>
    </row>
    <row r="6" spans="1:12" x14ac:dyDescent="0.3">
      <c r="A6" s="8">
        <v>10005</v>
      </c>
      <c r="B6" s="1">
        <v>45296</v>
      </c>
      <c r="C6" t="s">
        <v>23</v>
      </c>
      <c r="D6" t="s">
        <v>24</v>
      </c>
      <c r="E6" s="8">
        <v>1</v>
      </c>
      <c r="F6" s="6">
        <v>89.99</v>
      </c>
      <c r="G6" s="6">
        <v>89.99</v>
      </c>
      <c r="H6" t="s">
        <v>15</v>
      </c>
      <c r="I6" t="s">
        <v>16</v>
      </c>
      <c r="J6" t="str">
        <f>TEXT(Table1[[#This Row],[Date]],"mmm")</f>
        <v>Jan</v>
      </c>
      <c r="K6">
        <f>YEAR(Table1[[#This Row],[Date]])</f>
        <v>2024</v>
      </c>
      <c r="L6" s="8">
        <f>MONTH(Table1[[#This Row],[Date]])</f>
        <v>1</v>
      </c>
    </row>
    <row r="7" spans="1:12" x14ac:dyDescent="0.3">
      <c r="A7" s="8">
        <v>10006</v>
      </c>
      <c r="B7" s="1">
        <v>45297</v>
      </c>
      <c r="C7" t="s">
        <v>25</v>
      </c>
      <c r="D7" t="s">
        <v>26</v>
      </c>
      <c r="E7" s="8">
        <v>5</v>
      </c>
      <c r="F7" s="6">
        <v>29.99</v>
      </c>
      <c r="G7" s="6">
        <v>149.94999999999999</v>
      </c>
      <c r="H7" t="s">
        <v>19</v>
      </c>
      <c r="I7" t="s">
        <v>12</v>
      </c>
      <c r="J7" t="str">
        <f>TEXT(Table1[[#This Row],[Date]],"mmm")</f>
        <v>Jan</v>
      </c>
      <c r="K7">
        <f>YEAR(Table1[[#This Row],[Date]])</f>
        <v>2024</v>
      </c>
      <c r="L7" s="8">
        <f>MONTH(Table1[[#This Row],[Date]])</f>
        <v>1</v>
      </c>
    </row>
    <row r="8" spans="1:12" x14ac:dyDescent="0.3">
      <c r="A8" s="8">
        <v>10007</v>
      </c>
      <c r="B8" s="1">
        <v>45298</v>
      </c>
      <c r="C8" t="s">
        <v>9</v>
      </c>
      <c r="D8" t="s">
        <v>27</v>
      </c>
      <c r="E8" s="8">
        <v>1</v>
      </c>
      <c r="F8" s="6">
        <v>2499.9899999999998</v>
      </c>
      <c r="G8" s="6">
        <v>2499.9899999999998</v>
      </c>
      <c r="H8" t="s">
        <v>11</v>
      </c>
      <c r="I8" t="s">
        <v>12</v>
      </c>
      <c r="J8" t="str">
        <f>TEXT(Table1[[#This Row],[Date]],"mmm")</f>
        <v>Jan</v>
      </c>
      <c r="K8">
        <f>YEAR(Table1[[#This Row],[Date]])</f>
        <v>2024</v>
      </c>
      <c r="L8" s="8">
        <f>MONTH(Table1[[#This Row],[Date]])</f>
        <v>1</v>
      </c>
    </row>
    <row r="9" spans="1:12" x14ac:dyDescent="0.3">
      <c r="A9" s="8">
        <v>10008</v>
      </c>
      <c r="B9" s="1">
        <v>45299</v>
      </c>
      <c r="C9" t="s">
        <v>13</v>
      </c>
      <c r="D9" t="s">
        <v>28</v>
      </c>
      <c r="E9" s="8">
        <v>2</v>
      </c>
      <c r="F9" s="6">
        <v>599.99</v>
      </c>
      <c r="G9" s="6">
        <v>1199.98</v>
      </c>
      <c r="H9" t="s">
        <v>15</v>
      </c>
      <c r="I9" t="s">
        <v>16</v>
      </c>
      <c r="J9" t="str">
        <f>TEXT(Table1[[#This Row],[Date]],"mmm")</f>
        <v>Jan</v>
      </c>
      <c r="K9">
        <f>YEAR(Table1[[#This Row],[Date]])</f>
        <v>2024</v>
      </c>
      <c r="L9" s="8">
        <f>MONTH(Table1[[#This Row],[Date]])</f>
        <v>1</v>
      </c>
    </row>
    <row r="10" spans="1:12" x14ac:dyDescent="0.3">
      <c r="A10" s="8">
        <v>10009</v>
      </c>
      <c r="B10" s="1">
        <v>45300</v>
      </c>
      <c r="C10" t="s">
        <v>17</v>
      </c>
      <c r="D10" t="s">
        <v>29</v>
      </c>
      <c r="E10" s="8">
        <v>6</v>
      </c>
      <c r="F10" s="6">
        <v>89.99</v>
      </c>
      <c r="G10" s="6">
        <v>539.94000000000005</v>
      </c>
      <c r="H10" t="s">
        <v>19</v>
      </c>
      <c r="I10" t="s">
        <v>20</v>
      </c>
      <c r="J10" t="str">
        <f>TEXT(Table1[[#This Row],[Date]],"mmm")</f>
        <v>Jan</v>
      </c>
      <c r="K10">
        <f>YEAR(Table1[[#This Row],[Date]])</f>
        <v>2024</v>
      </c>
      <c r="L10" s="8">
        <f>MONTH(Table1[[#This Row],[Date]])</f>
        <v>1</v>
      </c>
    </row>
    <row r="11" spans="1:12" x14ac:dyDescent="0.3">
      <c r="A11" s="8">
        <v>10010</v>
      </c>
      <c r="B11" s="1">
        <v>45301</v>
      </c>
      <c r="C11" t="s">
        <v>21</v>
      </c>
      <c r="D11" t="s">
        <v>30</v>
      </c>
      <c r="E11" s="8">
        <v>2</v>
      </c>
      <c r="F11" s="6">
        <v>25.99</v>
      </c>
      <c r="G11" s="6">
        <v>51.98</v>
      </c>
      <c r="H11" t="s">
        <v>11</v>
      </c>
      <c r="I11" t="s">
        <v>12</v>
      </c>
      <c r="J11" t="str">
        <f>TEXT(Table1[[#This Row],[Date]],"mmm")</f>
        <v>Jan</v>
      </c>
      <c r="K11">
        <f>YEAR(Table1[[#This Row],[Date]])</f>
        <v>2024</v>
      </c>
      <c r="L11" s="8">
        <f>MONTH(Table1[[#This Row],[Date]])</f>
        <v>1</v>
      </c>
    </row>
    <row r="12" spans="1:12" x14ac:dyDescent="0.3">
      <c r="A12" s="8">
        <v>10011</v>
      </c>
      <c r="B12" s="1">
        <v>45302</v>
      </c>
      <c r="C12" t="s">
        <v>23</v>
      </c>
      <c r="D12" t="s">
        <v>31</v>
      </c>
      <c r="E12" s="8">
        <v>1</v>
      </c>
      <c r="F12" s="6">
        <v>129.99</v>
      </c>
      <c r="G12" s="6">
        <v>129.99</v>
      </c>
      <c r="H12" t="s">
        <v>15</v>
      </c>
      <c r="I12" t="s">
        <v>16</v>
      </c>
      <c r="J12" t="str">
        <f>TEXT(Table1[[#This Row],[Date]],"mmm")</f>
        <v>Jan</v>
      </c>
      <c r="K12">
        <f>YEAR(Table1[[#This Row],[Date]])</f>
        <v>2024</v>
      </c>
      <c r="L12" s="8">
        <f>MONTH(Table1[[#This Row],[Date]])</f>
        <v>1</v>
      </c>
    </row>
    <row r="13" spans="1:12" x14ac:dyDescent="0.3">
      <c r="A13" s="8">
        <v>10012</v>
      </c>
      <c r="B13" s="1">
        <v>45303</v>
      </c>
      <c r="C13" t="s">
        <v>25</v>
      </c>
      <c r="D13" t="s">
        <v>32</v>
      </c>
      <c r="E13" s="8">
        <v>3</v>
      </c>
      <c r="F13" s="6">
        <v>199.99</v>
      </c>
      <c r="G13" s="6">
        <v>599.97</v>
      </c>
      <c r="H13" t="s">
        <v>19</v>
      </c>
      <c r="I13" t="s">
        <v>12</v>
      </c>
      <c r="J13" t="str">
        <f>TEXT(Table1[[#This Row],[Date]],"mmm")</f>
        <v>Jan</v>
      </c>
      <c r="K13">
        <f>YEAR(Table1[[#This Row],[Date]])</f>
        <v>2024</v>
      </c>
      <c r="L13" s="8">
        <f>MONTH(Table1[[#This Row],[Date]])</f>
        <v>1</v>
      </c>
    </row>
    <row r="14" spans="1:12" x14ac:dyDescent="0.3">
      <c r="A14" s="8">
        <v>10013</v>
      </c>
      <c r="B14" s="1">
        <v>45304</v>
      </c>
      <c r="C14" t="s">
        <v>9</v>
      </c>
      <c r="D14" t="s">
        <v>33</v>
      </c>
      <c r="E14" s="8">
        <v>2</v>
      </c>
      <c r="F14" s="6">
        <v>749.99</v>
      </c>
      <c r="G14" s="6">
        <v>1499.98</v>
      </c>
      <c r="H14" t="s">
        <v>11</v>
      </c>
      <c r="I14" t="s">
        <v>12</v>
      </c>
      <c r="J14" t="str">
        <f>TEXT(Table1[[#This Row],[Date]],"mmm")</f>
        <v>Jan</v>
      </c>
      <c r="K14">
        <f>YEAR(Table1[[#This Row],[Date]])</f>
        <v>2024</v>
      </c>
      <c r="L14" s="8">
        <f>MONTH(Table1[[#This Row],[Date]])</f>
        <v>1</v>
      </c>
    </row>
    <row r="15" spans="1:12" x14ac:dyDescent="0.3">
      <c r="A15" s="8">
        <v>10014</v>
      </c>
      <c r="B15" s="1">
        <v>45305</v>
      </c>
      <c r="C15" t="s">
        <v>13</v>
      </c>
      <c r="D15" t="s">
        <v>34</v>
      </c>
      <c r="E15" s="8">
        <v>1</v>
      </c>
      <c r="F15" s="6">
        <v>189.99</v>
      </c>
      <c r="G15" s="6">
        <v>189.99</v>
      </c>
      <c r="H15" t="s">
        <v>15</v>
      </c>
      <c r="I15" t="s">
        <v>16</v>
      </c>
      <c r="J15" t="str">
        <f>TEXT(Table1[[#This Row],[Date]],"mmm")</f>
        <v>Jan</v>
      </c>
      <c r="K15">
        <f>YEAR(Table1[[#This Row],[Date]])</f>
        <v>2024</v>
      </c>
      <c r="L15" s="8">
        <f>MONTH(Table1[[#This Row],[Date]])</f>
        <v>1</v>
      </c>
    </row>
    <row r="16" spans="1:12" x14ac:dyDescent="0.3">
      <c r="A16" s="8">
        <v>10015</v>
      </c>
      <c r="B16" s="1">
        <v>45306</v>
      </c>
      <c r="C16" t="s">
        <v>17</v>
      </c>
      <c r="D16" t="s">
        <v>35</v>
      </c>
      <c r="E16" s="8">
        <v>2</v>
      </c>
      <c r="F16" s="6">
        <v>249.99</v>
      </c>
      <c r="G16" s="6">
        <v>499.98</v>
      </c>
      <c r="H16" t="s">
        <v>19</v>
      </c>
      <c r="I16" t="s">
        <v>20</v>
      </c>
      <c r="J16" t="str">
        <f>TEXT(Table1[[#This Row],[Date]],"mmm")</f>
        <v>Jan</v>
      </c>
      <c r="K16">
        <f>YEAR(Table1[[#This Row],[Date]])</f>
        <v>2024</v>
      </c>
      <c r="L16" s="8">
        <f>MONTH(Table1[[#This Row],[Date]])</f>
        <v>1</v>
      </c>
    </row>
    <row r="17" spans="1:12" x14ac:dyDescent="0.3">
      <c r="A17" s="8">
        <v>10016</v>
      </c>
      <c r="B17" s="1">
        <v>45307</v>
      </c>
      <c r="C17" t="s">
        <v>21</v>
      </c>
      <c r="D17" t="s">
        <v>36</v>
      </c>
      <c r="E17" s="8">
        <v>3</v>
      </c>
      <c r="F17" s="6">
        <v>35.99</v>
      </c>
      <c r="G17" s="6">
        <v>107.97</v>
      </c>
      <c r="H17" t="s">
        <v>11</v>
      </c>
      <c r="I17" t="s">
        <v>12</v>
      </c>
      <c r="J17" t="str">
        <f>TEXT(Table1[[#This Row],[Date]],"mmm")</f>
        <v>Jan</v>
      </c>
      <c r="K17">
        <f>YEAR(Table1[[#This Row],[Date]])</f>
        <v>2024</v>
      </c>
      <c r="L17" s="8">
        <f>MONTH(Table1[[#This Row],[Date]])</f>
        <v>1</v>
      </c>
    </row>
    <row r="18" spans="1:12" x14ac:dyDescent="0.3">
      <c r="A18" s="8">
        <v>10017</v>
      </c>
      <c r="B18" s="1">
        <v>45308</v>
      </c>
      <c r="C18" t="s">
        <v>23</v>
      </c>
      <c r="D18" t="s">
        <v>37</v>
      </c>
      <c r="E18" s="8">
        <v>1</v>
      </c>
      <c r="F18" s="6">
        <v>399.99</v>
      </c>
      <c r="G18" s="6">
        <v>399.99</v>
      </c>
      <c r="H18" t="s">
        <v>15</v>
      </c>
      <c r="I18" t="s">
        <v>16</v>
      </c>
      <c r="J18" t="str">
        <f>TEXT(Table1[[#This Row],[Date]],"mmm")</f>
        <v>Jan</v>
      </c>
      <c r="K18">
        <f>YEAR(Table1[[#This Row],[Date]])</f>
        <v>2024</v>
      </c>
      <c r="L18" s="8">
        <f>MONTH(Table1[[#This Row],[Date]])</f>
        <v>1</v>
      </c>
    </row>
    <row r="19" spans="1:12" x14ac:dyDescent="0.3">
      <c r="A19" s="8">
        <v>10018</v>
      </c>
      <c r="B19" s="1">
        <v>45309</v>
      </c>
      <c r="C19" t="s">
        <v>25</v>
      </c>
      <c r="D19" t="s">
        <v>38</v>
      </c>
      <c r="E19" s="8">
        <v>4</v>
      </c>
      <c r="F19" s="6">
        <v>119.99</v>
      </c>
      <c r="G19" s="6">
        <v>479.96</v>
      </c>
      <c r="H19" t="s">
        <v>19</v>
      </c>
      <c r="I19" t="s">
        <v>12</v>
      </c>
      <c r="J19" t="str">
        <f>TEXT(Table1[[#This Row],[Date]],"mmm")</f>
        <v>Jan</v>
      </c>
      <c r="K19">
        <f>YEAR(Table1[[#This Row],[Date]])</f>
        <v>2024</v>
      </c>
      <c r="L19" s="8">
        <f>MONTH(Table1[[#This Row],[Date]])</f>
        <v>1</v>
      </c>
    </row>
    <row r="20" spans="1:12" x14ac:dyDescent="0.3">
      <c r="A20" s="8">
        <v>10019</v>
      </c>
      <c r="B20" s="1">
        <v>45310</v>
      </c>
      <c r="C20" t="s">
        <v>9</v>
      </c>
      <c r="D20" t="s">
        <v>39</v>
      </c>
      <c r="E20" s="8">
        <v>2</v>
      </c>
      <c r="F20" s="6">
        <v>499.99</v>
      </c>
      <c r="G20" s="6">
        <v>999.98</v>
      </c>
      <c r="H20" t="s">
        <v>11</v>
      </c>
      <c r="I20" t="s">
        <v>12</v>
      </c>
      <c r="J20" t="str">
        <f>TEXT(Table1[[#This Row],[Date]],"mmm")</f>
        <v>Jan</v>
      </c>
      <c r="K20">
        <f>YEAR(Table1[[#This Row],[Date]])</f>
        <v>2024</v>
      </c>
      <c r="L20" s="8">
        <f>MONTH(Table1[[#This Row],[Date]])</f>
        <v>1</v>
      </c>
    </row>
    <row r="21" spans="1:12" x14ac:dyDescent="0.3">
      <c r="A21" s="8">
        <v>10020</v>
      </c>
      <c r="B21" s="1">
        <v>45311</v>
      </c>
      <c r="C21" t="s">
        <v>13</v>
      </c>
      <c r="D21" t="s">
        <v>40</v>
      </c>
      <c r="E21" s="8">
        <v>1</v>
      </c>
      <c r="F21" s="6">
        <v>99.99</v>
      </c>
      <c r="G21" s="6">
        <v>99.99</v>
      </c>
      <c r="H21" t="s">
        <v>15</v>
      </c>
      <c r="I21" t="s">
        <v>16</v>
      </c>
      <c r="J21" t="str">
        <f>TEXT(Table1[[#This Row],[Date]],"mmm")</f>
        <v>Jan</v>
      </c>
      <c r="K21">
        <f>YEAR(Table1[[#This Row],[Date]])</f>
        <v>2024</v>
      </c>
      <c r="L21" s="8">
        <f>MONTH(Table1[[#This Row],[Date]])</f>
        <v>1</v>
      </c>
    </row>
    <row r="22" spans="1:12" x14ac:dyDescent="0.3">
      <c r="A22" s="8">
        <v>10021</v>
      </c>
      <c r="B22" s="1">
        <v>45312</v>
      </c>
      <c r="C22" t="s">
        <v>17</v>
      </c>
      <c r="D22" t="s">
        <v>41</v>
      </c>
      <c r="E22" s="8">
        <v>3</v>
      </c>
      <c r="F22" s="6">
        <v>59.99</v>
      </c>
      <c r="G22" s="6">
        <v>179.97</v>
      </c>
      <c r="H22" t="s">
        <v>19</v>
      </c>
      <c r="I22" t="s">
        <v>20</v>
      </c>
      <c r="J22" t="str">
        <f>TEXT(Table1[[#This Row],[Date]],"mmm")</f>
        <v>Jan</v>
      </c>
      <c r="K22">
        <f>YEAR(Table1[[#This Row],[Date]])</f>
        <v>2024</v>
      </c>
      <c r="L22" s="8">
        <f>MONTH(Table1[[#This Row],[Date]])</f>
        <v>1</v>
      </c>
    </row>
    <row r="23" spans="1:12" x14ac:dyDescent="0.3">
      <c r="A23" s="8">
        <v>10022</v>
      </c>
      <c r="B23" s="1">
        <v>45313</v>
      </c>
      <c r="C23" t="s">
        <v>21</v>
      </c>
      <c r="D23" t="s">
        <v>42</v>
      </c>
      <c r="E23" s="8">
        <v>2</v>
      </c>
      <c r="F23" s="6">
        <v>22.99</v>
      </c>
      <c r="G23" s="6">
        <v>45.98</v>
      </c>
      <c r="H23" t="s">
        <v>11</v>
      </c>
      <c r="I23" t="s">
        <v>12</v>
      </c>
      <c r="J23" t="str">
        <f>TEXT(Table1[[#This Row],[Date]],"mmm")</f>
        <v>Jan</v>
      </c>
      <c r="K23">
        <f>YEAR(Table1[[#This Row],[Date]])</f>
        <v>2024</v>
      </c>
      <c r="L23" s="8">
        <f>MONTH(Table1[[#This Row],[Date]])</f>
        <v>1</v>
      </c>
    </row>
    <row r="24" spans="1:12" x14ac:dyDescent="0.3">
      <c r="A24" s="8">
        <v>10023</v>
      </c>
      <c r="B24" s="1">
        <v>45314</v>
      </c>
      <c r="C24" t="s">
        <v>23</v>
      </c>
      <c r="D24" t="s">
        <v>43</v>
      </c>
      <c r="E24" s="8">
        <v>1</v>
      </c>
      <c r="F24" s="6">
        <v>49.99</v>
      </c>
      <c r="G24" s="6">
        <v>49.99</v>
      </c>
      <c r="H24" t="s">
        <v>15</v>
      </c>
      <c r="I24" t="s">
        <v>16</v>
      </c>
      <c r="J24" t="str">
        <f>TEXT(Table1[[#This Row],[Date]],"mmm")</f>
        <v>Jan</v>
      </c>
      <c r="K24">
        <f>YEAR(Table1[[#This Row],[Date]])</f>
        <v>2024</v>
      </c>
      <c r="L24" s="8">
        <f>MONTH(Table1[[#This Row],[Date]])</f>
        <v>1</v>
      </c>
    </row>
    <row r="25" spans="1:12" x14ac:dyDescent="0.3">
      <c r="A25" s="8">
        <v>10024</v>
      </c>
      <c r="B25" s="1">
        <v>45315</v>
      </c>
      <c r="C25" t="s">
        <v>25</v>
      </c>
      <c r="D25" t="s">
        <v>44</v>
      </c>
      <c r="E25" s="8">
        <v>3</v>
      </c>
      <c r="F25" s="6">
        <v>29.99</v>
      </c>
      <c r="G25" s="6">
        <v>89.97</v>
      </c>
      <c r="H25" t="s">
        <v>19</v>
      </c>
      <c r="I25" t="s">
        <v>12</v>
      </c>
      <c r="J25" t="str">
        <f>TEXT(Table1[[#This Row],[Date]],"mmm")</f>
        <v>Jan</v>
      </c>
      <c r="K25">
        <f>YEAR(Table1[[#This Row],[Date]])</f>
        <v>2024</v>
      </c>
      <c r="L25" s="8">
        <f>MONTH(Table1[[#This Row],[Date]])</f>
        <v>1</v>
      </c>
    </row>
    <row r="26" spans="1:12" x14ac:dyDescent="0.3">
      <c r="A26" s="8">
        <v>10025</v>
      </c>
      <c r="B26" s="1">
        <v>45316</v>
      </c>
      <c r="C26" t="s">
        <v>9</v>
      </c>
      <c r="D26" t="s">
        <v>45</v>
      </c>
      <c r="E26" s="8">
        <v>1</v>
      </c>
      <c r="F26" s="6">
        <v>299.99</v>
      </c>
      <c r="G26" s="6">
        <v>299.99</v>
      </c>
      <c r="H26" t="s">
        <v>11</v>
      </c>
      <c r="I26" t="s">
        <v>12</v>
      </c>
      <c r="J26" t="str">
        <f>TEXT(Table1[[#This Row],[Date]],"mmm")</f>
        <v>Jan</v>
      </c>
      <c r="K26">
        <f>YEAR(Table1[[#This Row],[Date]])</f>
        <v>2024</v>
      </c>
      <c r="L26" s="8">
        <f>MONTH(Table1[[#This Row],[Date]])</f>
        <v>1</v>
      </c>
    </row>
    <row r="27" spans="1:12" x14ac:dyDescent="0.3">
      <c r="A27" s="8">
        <v>10026</v>
      </c>
      <c r="B27" s="1">
        <v>45317</v>
      </c>
      <c r="C27" t="s">
        <v>13</v>
      </c>
      <c r="D27" t="s">
        <v>46</v>
      </c>
      <c r="E27" s="8">
        <v>1</v>
      </c>
      <c r="F27" s="6">
        <v>179.99</v>
      </c>
      <c r="G27" s="6">
        <v>179.99</v>
      </c>
      <c r="H27" t="s">
        <v>15</v>
      </c>
      <c r="I27" t="s">
        <v>16</v>
      </c>
      <c r="J27" t="str">
        <f>TEXT(Table1[[#This Row],[Date]],"mmm")</f>
        <v>Jan</v>
      </c>
      <c r="K27">
        <f>YEAR(Table1[[#This Row],[Date]])</f>
        <v>2024</v>
      </c>
      <c r="L27" s="8">
        <f>MONTH(Table1[[#This Row],[Date]])</f>
        <v>1</v>
      </c>
    </row>
    <row r="28" spans="1:12" x14ac:dyDescent="0.3">
      <c r="A28" s="8">
        <v>10027</v>
      </c>
      <c r="B28" s="1">
        <v>45318</v>
      </c>
      <c r="C28" t="s">
        <v>17</v>
      </c>
      <c r="D28" t="s">
        <v>47</v>
      </c>
      <c r="E28" s="8">
        <v>2</v>
      </c>
      <c r="F28" s="6">
        <v>179.99</v>
      </c>
      <c r="G28" s="6">
        <v>359.98</v>
      </c>
      <c r="H28" t="s">
        <v>19</v>
      </c>
      <c r="I28" t="s">
        <v>20</v>
      </c>
      <c r="J28" t="str">
        <f>TEXT(Table1[[#This Row],[Date]],"mmm")</f>
        <v>Jan</v>
      </c>
      <c r="K28">
        <f>YEAR(Table1[[#This Row],[Date]])</f>
        <v>2024</v>
      </c>
      <c r="L28" s="8">
        <f>MONTH(Table1[[#This Row],[Date]])</f>
        <v>1</v>
      </c>
    </row>
    <row r="29" spans="1:12" x14ac:dyDescent="0.3">
      <c r="A29" s="8">
        <v>10028</v>
      </c>
      <c r="B29" s="1">
        <v>45319</v>
      </c>
      <c r="C29" t="s">
        <v>21</v>
      </c>
      <c r="D29" t="s">
        <v>48</v>
      </c>
      <c r="E29" s="8">
        <v>3</v>
      </c>
      <c r="F29" s="6">
        <v>12.99</v>
      </c>
      <c r="G29" s="6">
        <v>38.97</v>
      </c>
      <c r="H29" t="s">
        <v>11</v>
      </c>
      <c r="I29" t="s">
        <v>12</v>
      </c>
      <c r="J29" t="str">
        <f>TEXT(Table1[[#This Row],[Date]],"mmm")</f>
        <v>Jan</v>
      </c>
      <c r="K29">
        <f>YEAR(Table1[[#This Row],[Date]])</f>
        <v>2024</v>
      </c>
      <c r="L29" s="8">
        <f>MONTH(Table1[[#This Row],[Date]])</f>
        <v>1</v>
      </c>
    </row>
    <row r="30" spans="1:12" x14ac:dyDescent="0.3">
      <c r="A30" s="8">
        <v>10029</v>
      </c>
      <c r="B30" s="1">
        <v>45320</v>
      </c>
      <c r="C30" t="s">
        <v>23</v>
      </c>
      <c r="D30" t="s">
        <v>49</v>
      </c>
      <c r="E30" s="8">
        <v>1</v>
      </c>
      <c r="F30" s="6">
        <v>29.99</v>
      </c>
      <c r="G30" s="6">
        <v>29.99</v>
      </c>
      <c r="H30" t="s">
        <v>15</v>
      </c>
      <c r="I30" t="s">
        <v>16</v>
      </c>
      <c r="J30" t="str">
        <f>TEXT(Table1[[#This Row],[Date]],"mmm")</f>
        <v>Jan</v>
      </c>
      <c r="K30">
        <f>YEAR(Table1[[#This Row],[Date]])</f>
        <v>2024</v>
      </c>
      <c r="L30" s="8">
        <f>MONTH(Table1[[#This Row],[Date]])</f>
        <v>1</v>
      </c>
    </row>
    <row r="31" spans="1:12" x14ac:dyDescent="0.3">
      <c r="A31" s="8">
        <v>10030</v>
      </c>
      <c r="B31" s="1">
        <v>45321</v>
      </c>
      <c r="C31" t="s">
        <v>25</v>
      </c>
      <c r="D31" t="s">
        <v>50</v>
      </c>
      <c r="E31" s="8">
        <v>2</v>
      </c>
      <c r="F31" s="6">
        <v>129.99</v>
      </c>
      <c r="G31" s="6">
        <v>259.98</v>
      </c>
      <c r="H31" t="s">
        <v>19</v>
      </c>
      <c r="I31" t="s">
        <v>12</v>
      </c>
      <c r="J31" t="str">
        <f>TEXT(Table1[[#This Row],[Date]],"mmm")</f>
        <v>Jan</v>
      </c>
      <c r="K31">
        <f>YEAR(Table1[[#This Row],[Date]])</f>
        <v>2024</v>
      </c>
      <c r="L31" s="8">
        <f>MONTH(Table1[[#This Row],[Date]])</f>
        <v>1</v>
      </c>
    </row>
    <row r="32" spans="1:12" x14ac:dyDescent="0.3">
      <c r="A32" s="8">
        <v>10031</v>
      </c>
      <c r="B32" s="1">
        <v>45322</v>
      </c>
      <c r="C32" t="s">
        <v>9</v>
      </c>
      <c r="D32" t="s">
        <v>51</v>
      </c>
      <c r="E32" s="8">
        <v>2</v>
      </c>
      <c r="F32" s="6">
        <v>349.99</v>
      </c>
      <c r="G32" s="6">
        <v>699.98</v>
      </c>
      <c r="H32" t="s">
        <v>11</v>
      </c>
      <c r="I32" t="s">
        <v>12</v>
      </c>
      <c r="J32" t="str">
        <f>TEXT(Table1[[#This Row],[Date]],"mmm")</f>
        <v>Jan</v>
      </c>
      <c r="K32">
        <f>YEAR(Table1[[#This Row],[Date]])</f>
        <v>2024</v>
      </c>
      <c r="L32" s="8">
        <f>MONTH(Table1[[#This Row],[Date]])</f>
        <v>1</v>
      </c>
    </row>
    <row r="33" spans="1:12" x14ac:dyDescent="0.3">
      <c r="A33" s="8">
        <v>10032</v>
      </c>
      <c r="B33" s="1">
        <v>45323</v>
      </c>
      <c r="C33" t="s">
        <v>13</v>
      </c>
      <c r="D33" t="s">
        <v>52</v>
      </c>
      <c r="E33" s="8">
        <v>3</v>
      </c>
      <c r="F33" s="6">
        <v>89.99</v>
      </c>
      <c r="G33" s="6">
        <v>269.97000000000003</v>
      </c>
      <c r="H33" t="s">
        <v>15</v>
      </c>
      <c r="I33" t="s">
        <v>16</v>
      </c>
      <c r="J33" t="str">
        <f>TEXT(Table1[[#This Row],[Date]],"mmm")</f>
        <v>Feb</v>
      </c>
      <c r="K33">
        <f>YEAR(Table1[[#This Row],[Date]])</f>
        <v>2024</v>
      </c>
      <c r="L33" s="8">
        <f>MONTH(Table1[[#This Row],[Date]])</f>
        <v>2</v>
      </c>
    </row>
    <row r="34" spans="1:12" x14ac:dyDescent="0.3">
      <c r="A34" s="8">
        <v>10033</v>
      </c>
      <c r="B34" s="1">
        <v>45324</v>
      </c>
      <c r="C34" t="s">
        <v>17</v>
      </c>
      <c r="D34" t="s">
        <v>53</v>
      </c>
      <c r="E34" s="8">
        <v>5</v>
      </c>
      <c r="F34" s="6">
        <v>29.99</v>
      </c>
      <c r="G34" s="6">
        <v>149.94999999999999</v>
      </c>
      <c r="H34" t="s">
        <v>19</v>
      </c>
      <c r="I34" t="s">
        <v>20</v>
      </c>
      <c r="J34" t="str">
        <f>TEXT(Table1[[#This Row],[Date]],"mmm")</f>
        <v>Feb</v>
      </c>
      <c r="K34">
        <f>YEAR(Table1[[#This Row],[Date]])</f>
        <v>2024</v>
      </c>
      <c r="L34" s="8">
        <f>MONTH(Table1[[#This Row],[Date]])</f>
        <v>2</v>
      </c>
    </row>
    <row r="35" spans="1:12" x14ac:dyDescent="0.3">
      <c r="A35" s="8">
        <v>10034</v>
      </c>
      <c r="B35" s="1">
        <v>45325</v>
      </c>
      <c r="C35" t="s">
        <v>21</v>
      </c>
      <c r="D35" t="s">
        <v>54</v>
      </c>
      <c r="E35" s="8">
        <v>4</v>
      </c>
      <c r="F35" s="6">
        <v>19.989999999999998</v>
      </c>
      <c r="G35" s="6">
        <v>79.959999999999994</v>
      </c>
      <c r="H35" t="s">
        <v>11</v>
      </c>
      <c r="I35" t="s">
        <v>12</v>
      </c>
      <c r="J35" t="str">
        <f>TEXT(Table1[[#This Row],[Date]],"mmm")</f>
        <v>Feb</v>
      </c>
      <c r="K35">
        <f>YEAR(Table1[[#This Row],[Date]])</f>
        <v>2024</v>
      </c>
      <c r="L35" s="8">
        <f>MONTH(Table1[[#This Row],[Date]])</f>
        <v>2</v>
      </c>
    </row>
    <row r="36" spans="1:12" x14ac:dyDescent="0.3">
      <c r="A36" s="8">
        <v>10035</v>
      </c>
      <c r="B36" s="1">
        <v>45326</v>
      </c>
      <c r="C36" t="s">
        <v>23</v>
      </c>
      <c r="D36" t="s">
        <v>55</v>
      </c>
      <c r="E36" s="8">
        <v>2</v>
      </c>
      <c r="F36" s="6">
        <v>39.99</v>
      </c>
      <c r="G36" s="6">
        <v>79.98</v>
      </c>
      <c r="H36" t="s">
        <v>15</v>
      </c>
      <c r="I36" t="s">
        <v>16</v>
      </c>
      <c r="J36" t="str">
        <f>TEXT(Table1[[#This Row],[Date]],"mmm")</f>
        <v>Feb</v>
      </c>
      <c r="K36">
        <f>YEAR(Table1[[#This Row],[Date]])</f>
        <v>2024</v>
      </c>
      <c r="L36" s="8">
        <f>MONTH(Table1[[#This Row],[Date]])</f>
        <v>2</v>
      </c>
    </row>
    <row r="37" spans="1:12" x14ac:dyDescent="0.3">
      <c r="A37" s="8">
        <v>10036</v>
      </c>
      <c r="B37" s="1">
        <v>45327</v>
      </c>
      <c r="C37" t="s">
        <v>25</v>
      </c>
      <c r="D37" t="s">
        <v>56</v>
      </c>
      <c r="E37" s="8">
        <v>1</v>
      </c>
      <c r="F37" s="6">
        <v>1895</v>
      </c>
      <c r="G37" s="6">
        <v>1895</v>
      </c>
      <c r="H37" t="s">
        <v>19</v>
      </c>
      <c r="I37" t="s">
        <v>12</v>
      </c>
      <c r="J37" t="str">
        <f>TEXT(Table1[[#This Row],[Date]],"mmm")</f>
        <v>Feb</v>
      </c>
      <c r="K37">
        <f>YEAR(Table1[[#This Row],[Date]])</f>
        <v>2024</v>
      </c>
      <c r="L37" s="8">
        <f>MONTH(Table1[[#This Row],[Date]])</f>
        <v>2</v>
      </c>
    </row>
    <row r="38" spans="1:12" x14ac:dyDescent="0.3">
      <c r="A38" s="8">
        <v>10037</v>
      </c>
      <c r="B38" s="1">
        <v>45328</v>
      </c>
      <c r="C38" t="s">
        <v>9</v>
      </c>
      <c r="D38" t="s">
        <v>57</v>
      </c>
      <c r="E38" s="8">
        <v>3</v>
      </c>
      <c r="F38" s="6">
        <v>399.99</v>
      </c>
      <c r="G38" s="6">
        <v>1199.97</v>
      </c>
      <c r="H38" t="s">
        <v>11</v>
      </c>
      <c r="I38" t="s">
        <v>12</v>
      </c>
      <c r="J38" t="str">
        <f>TEXT(Table1[[#This Row],[Date]],"mmm")</f>
        <v>Feb</v>
      </c>
      <c r="K38">
        <f>YEAR(Table1[[#This Row],[Date]])</f>
        <v>2024</v>
      </c>
      <c r="L38" s="8">
        <f>MONTH(Table1[[#This Row],[Date]])</f>
        <v>2</v>
      </c>
    </row>
    <row r="39" spans="1:12" x14ac:dyDescent="0.3">
      <c r="A39" s="8">
        <v>10038</v>
      </c>
      <c r="B39" s="1">
        <v>45329</v>
      </c>
      <c r="C39" t="s">
        <v>13</v>
      </c>
      <c r="D39" t="s">
        <v>58</v>
      </c>
      <c r="E39" s="8">
        <v>2</v>
      </c>
      <c r="F39" s="6">
        <v>799.99</v>
      </c>
      <c r="G39" s="6">
        <v>1599.98</v>
      </c>
      <c r="H39" t="s">
        <v>15</v>
      </c>
      <c r="I39" t="s">
        <v>16</v>
      </c>
      <c r="J39" t="str">
        <f>TEXT(Table1[[#This Row],[Date]],"mmm")</f>
        <v>Feb</v>
      </c>
      <c r="K39">
        <f>YEAR(Table1[[#This Row],[Date]])</f>
        <v>2024</v>
      </c>
      <c r="L39" s="8">
        <f>MONTH(Table1[[#This Row],[Date]])</f>
        <v>2</v>
      </c>
    </row>
    <row r="40" spans="1:12" x14ac:dyDescent="0.3">
      <c r="A40" s="8">
        <v>10039</v>
      </c>
      <c r="B40" s="1">
        <v>45330</v>
      </c>
      <c r="C40" t="s">
        <v>17</v>
      </c>
      <c r="D40" t="s">
        <v>59</v>
      </c>
      <c r="E40" s="8">
        <v>4</v>
      </c>
      <c r="F40" s="6">
        <v>59.99</v>
      </c>
      <c r="G40" s="6">
        <v>239.96</v>
      </c>
      <c r="H40" t="s">
        <v>19</v>
      </c>
      <c r="I40" t="s">
        <v>20</v>
      </c>
      <c r="J40" t="str">
        <f>TEXT(Table1[[#This Row],[Date]],"mmm")</f>
        <v>Feb</v>
      </c>
      <c r="K40">
        <f>YEAR(Table1[[#This Row],[Date]])</f>
        <v>2024</v>
      </c>
      <c r="L40" s="8">
        <f>MONTH(Table1[[#This Row],[Date]])</f>
        <v>2</v>
      </c>
    </row>
    <row r="41" spans="1:12" x14ac:dyDescent="0.3">
      <c r="A41" s="8">
        <v>10040</v>
      </c>
      <c r="B41" s="1">
        <v>45331</v>
      </c>
      <c r="C41" t="s">
        <v>21</v>
      </c>
      <c r="D41" t="s">
        <v>60</v>
      </c>
      <c r="E41" s="8">
        <v>3</v>
      </c>
      <c r="F41" s="6">
        <v>24.99</v>
      </c>
      <c r="G41" s="6">
        <v>74.97</v>
      </c>
      <c r="H41" t="s">
        <v>11</v>
      </c>
      <c r="I41" t="s">
        <v>12</v>
      </c>
      <c r="J41" t="str">
        <f>TEXT(Table1[[#This Row],[Date]],"mmm")</f>
        <v>Feb</v>
      </c>
      <c r="K41">
        <f>YEAR(Table1[[#This Row],[Date]])</f>
        <v>2024</v>
      </c>
      <c r="L41" s="8">
        <f>MONTH(Table1[[#This Row],[Date]])</f>
        <v>2</v>
      </c>
    </row>
    <row r="42" spans="1:12" x14ac:dyDescent="0.3">
      <c r="A42" s="8">
        <v>10041</v>
      </c>
      <c r="B42" s="1">
        <v>45332</v>
      </c>
      <c r="C42" t="s">
        <v>23</v>
      </c>
      <c r="D42" t="s">
        <v>61</v>
      </c>
      <c r="E42" s="8">
        <v>1</v>
      </c>
      <c r="F42" s="6">
        <v>105</v>
      </c>
      <c r="G42" s="6">
        <v>105</v>
      </c>
      <c r="H42" t="s">
        <v>15</v>
      </c>
      <c r="I42" t="s">
        <v>16</v>
      </c>
      <c r="J42" t="str">
        <f>TEXT(Table1[[#This Row],[Date]],"mmm")</f>
        <v>Feb</v>
      </c>
      <c r="K42">
        <f>YEAR(Table1[[#This Row],[Date]])</f>
        <v>2024</v>
      </c>
      <c r="L42" s="8">
        <f>MONTH(Table1[[#This Row],[Date]])</f>
        <v>2</v>
      </c>
    </row>
    <row r="43" spans="1:12" x14ac:dyDescent="0.3">
      <c r="A43" s="8">
        <v>10042</v>
      </c>
      <c r="B43" s="1">
        <v>45333</v>
      </c>
      <c r="C43" t="s">
        <v>25</v>
      </c>
      <c r="D43" t="s">
        <v>62</v>
      </c>
      <c r="E43" s="8">
        <v>2</v>
      </c>
      <c r="F43" s="6">
        <v>129.99</v>
      </c>
      <c r="G43" s="6">
        <v>259.98</v>
      </c>
      <c r="H43" t="s">
        <v>19</v>
      </c>
      <c r="I43" t="s">
        <v>12</v>
      </c>
      <c r="J43" t="str">
        <f>TEXT(Table1[[#This Row],[Date]],"mmm")</f>
        <v>Feb</v>
      </c>
      <c r="K43">
        <f>YEAR(Table1[[#This Row],[Date]])</f>
        <v>2024</v>
      </c>
      <c r="L43" s="8">
        <f>MONTH(Table1[[#This Row],[Date]])</f>
        <v>2</v>
      </c>
    </row>
    <row r="44" spans="1:12" x14ac:dyDescent="0.3">
      <c r="A44" s="8">
        <v>10043</v>
      </c>
      <c r="B44" s="1">
        <v>45334</v>
      </c>
      <c r="C44" t="s">
        <v>9</v>
      </c>
      <c r="D44" t="s">
        <v>63</v>
      </c>
      <c r="E44" s="8">
        <v>3</v>
      </c>
      <c r="F44" s="6">
        <v>399.99</v>
      </c>
      <c r="G44" s="6">
        <v>1199.97</v>
      </c>
      <c r="H44" t="s">
        <v>11</v>
      </c>
      <c r="I44" t="s">
        <v>12</v>
      </c>
      <c r="J44" t="str">
        <f>TEXT(Table1[[#This Row],[Date]],"mmm")</f>
        <v>Feb</v>
      </c>
      <c r="K44">
        <f>YEAR(Table1[[#This Row],[Date]])</f>
        <v>2024</v>
      </c>
      <c r="L44" s="8">
        <f>MONTH(Table1[[#This Row],[Date]])</f>
        <v>2</v>
      </c>
    </row>
    <row r="45" spans="1:12" x14ac:dyDescent="0.3">
      <c r="A45" s="8">
        <v>10044</v>
      </c>
      <c r="B45" s="1">
        <v>45335</v>
      </c>
      <c r="C45" t="s">
        <v>13</v>
      </c>
      <c r="D45" t="s">
        <v>64</v>
      </c>
      <c r="E45" s="8">
        <v>1</v>
      </c>
      <c r="F45" s="6">
        <v>199.99</v>
      </c>
      <c r="G45" s="6">
        <v>199.99</v>
      </c>
      <c r="H45" t="s">
        <v>15</v>
      </c>
      <c r="I45" t="s">
        <v>16</v>
      </c>
      <c r="J45" t="str">
        <f>TEXT(Table1[[#This Row],[Date]],"mmm")</f>
        <v>Feb</v>
      </c>
      <c r="K45">
        <f>YEAR(Table1[[#This Row],[Date]])</f>
        <v>2024</v>
      </c>
      <c r="L45" s="8">
        <f>MONTH(Table1[[#This Row],[Date]])</f>
        <v>2</v>
      </c>
    </row>
    <row r="46" spans="1:12" x14ac:dyDescent="0.3">
      <c r="A46" s="8">
        <v>10045</v>
      </c>
      <c r="B46" s="1">
        <v>45336</v>
      </c>
      <c r="C46" t="s">
        <v>17</v>
      </c>
      <c r="D46" t="s">
        <v>65</v>
      </c>
      <c r="E46" s="8">
        <v>2</v>
      </c>
      <c r="F46" s="6">
        <v>139.99</v>
      </c>
      <c r="G46" s="6">
        <v>279.98</v>
      </c>
      <c r="H46" t="s">
        <v>19</v>
      </c>
      <c r="I46" t="s">
        <v>20</v>
      </c>
      <c r="J46" t="str">
        <f>TEXT(Table1[[#This Row],[Date]],"mmm")</f>
        <v>Feb</v>
      </c>
      <c r="K46">
        <f>YEAR(Table1[[#This Row],[Date]])</f>
        <v>2024</v>
      </c>
      <c r="L46" s="8">
        <f>MONTH(Table1[[#This Row],[Date]])</f>
        <v>2</v>
      </c>
    </row>
    <row r="47" spans="1:12" x14ac:dyDescent="0.3">
      <c r="A47" s="8">
        <v>10046</v>
      </c>
      <c r="B47" s="1">
        <v>45337</v>
      </c>
      <c r="C47" t="s">
        <v>21</v>
      </c>
      <c r="D47" t="s">
        <v>66</v>
      </c>
      <c r="E47" s="8">
        <v>4</v>
      </c>
      <c r="F47" s="6">
        <v>32.5</v>
      </c>
      <c r="G47" s="6">
        <v>130</v>
      </c>
      <c r="H47" t="s">
        <v>11</v>
      </c>
      <c r="I47" t="s">
        <v>12</v>
      </c>
      <c r="J47" t="str">
        <f>TEXT(Table1[[#This Row],[Date]],"mmm")</f>
        <v>Feb</v>
      </c>
      <c r="K47">
        <f>YEAR(Table1[[#This Row],[Date]])</f>
        <v>2024</v>
      </c>
      <c r="L47" s="8">
        <f>MONTH(Table1[[#This Row],[Date]])</f>
        <v>2</v>
      </c>
    </row>
    <row r="48" spans="1:12" x14ac:dyDescent="0.3">
      <c r="A48" s="8">
        <v>10047</v>
      </c>
      <c r="B48" s="1">
        <v>45338</v>
      </c>
      <c r="C48" t="s">
        <v>23</v>
      </c>
      <c r="D48" t="s">
        <v>67</v>
      </c>
      <c r="E48" s="8">
        <v>1</v>
      </c>
      <c r="F48" s="6">
        <v>52</v>
      </c>
      <c r="G48" s="6">
        <v>52</v>
      </c>
      <c r="H48" t="s">
        <v>15</v>
      </c>
      <c r="I48" t="s">
        <v>16</v>
      </c>
      <c r="J48" t="str">
        <f>TEXT(Table1[[#This Row],[Date]],"mmm")</f>
        <v>Feb</v>
      </c>
      <c r="K48">
        <f>YEAR(Table1[[#This Row],[Date]])</f>
        <v>2024</v>
      </c>
      <c r="L48" s="8">
        <f>MONTH(Table1[[#This Row],[Date]])</f>
        <v>2</v>
      </c>
    </row>
    <row r="49" spans="1:12" x14ac:dyDescent="0.3">
      <c r="A49" s="8">
        <v>10048</v>
      </c>
      <c r="B49" s="1">
        <v>45339</v>
      </c>
      <c r="C49" t="s">
        <v>25</v>
      </c>
      <c r="D49" t="s">
        <v>68</v>
      </c>
      <c r="E49" s="8">
        <v>6</v>
      </c>
      <c r="F49" s="6">
        <v>39.99</v>
      </c>
      <c r="G49" s="6">
        <v>239.94</v>
      </c>
      <c r="H49" t="s">
        <v>19</v>
      </c>
      <c r="I49" t="s">
        <v>12</v>
      </c>
      <c r="J49" t="str">
        <f>TEXT(Table1[[#This Row],[Date]],"mmm")</f>
        <v>Feb</v>
      </c>
      <c r="K49">
        <f>YEAR(Table1[[#This Row],[Date]])</f>
        <v>2024</v>
      </c>
      <c r="L49" s="8">
        <f>MONTH(Table1[[#This Row],[Date]])</f>
        <v>2</v>
      </c>
    </row>
    <row r="50" spans="1:12" x14ac:dyDescent="0.3">
      <c r="A50" s="8">
        <v>10049</v>
      </c>
      <c r="B50" s="1">
        <v>45340</v>
      </c>
      <c r="C50" t="s">
        <v>9</v>
      </c>
      <c r="D50" t="s">
        <v>69</v>
      </c>
      <c r="E50" s="8">
        <v>2</v>
      </c>
      <c r="F50" s="6">
        <v>129.99</v>
      </c>
      <c r="G50" s="6">
        <v>259.98</v>
      </c>
      <c r="H50" t="s">
        <v>11</v>
      </c>
      <c r="I50" t="s">
        <v>12</v>
      </c>
      <c r="J50" t="str">
        <f>TEXT(Table1[[#This Row],[Date]],"mmm")</f>
        <v>Feb</v>
      </c>
      <c r="K50">
        <f>YEAR(Table1[[#This Row],[Date]])</f>
        <v>2024</v>
      </c>
      <c r="L50" s="8">
        <f>MONTH(Table1[[#This Row],[Date]])</f>
        <v>2</v>
      </c>
    </row>
    <row r="51" spans="1:12" x14ac:dyDescent="0.3">
      <c r="A51" s="8">
        <v>10050</v>
      </c>
      <c r="B51" s="1">
        <v>45341</v>
      </c>
      <c r="C51" t="s">
        <v>13</v>
      </c>
      <c r="D51" t="s">
        <v>70</v>
      </c>
      <c r="E51" s="8">
        <v>1</v>
      </c>
      <c r="F51" s="6">
        <v>299.99</v>
      </c>
      <c r="G51" s="6">
        <v>299.99</v>
      </c>
      <c r="H51" t="s">
        <v>15</v>
      </c>
      <c r="I51" t="s">
        <v>16</v>
      </c>
      <c r="J51" t="str">
        <f>TEXT(Table1[[#This Row],[Date]],"mmm")</f>
        <v>Feb</v>
      </c>
      <c r="K51">
        <f>YEAR(Table1[[#This Row],[Date]])</f>
        <v>2024</v>
      </c>
      <c r="L51" s="8">
        <f>MONTH(Table1[[#This Row],[Date]])</f>
        <v>2</v>
      </c>
    </row>
    <row r="52" spans="1:12" x14ac:dyDescent="0.3">
      <c r="A52" s="8">
        <v>10051</v>
      </c>
      <c r="B52" s="1">
        <v>45342</v>
      </c>
      <c r="C52" t="s">
        <v>17</v>
      </c>
      <c r="D52" t="s">
        <v>71</v>
      </c>
      <c r="E52" s="8">
        <v>3</v>
      </c>
      <c r="F52" s="6">
        <v>154.99</v>
      </c>
      <c r="G52" s="6">
        <v>464.97</v>
      </c>
      <c r="H52" t="s">
        <v>19</v>
      </c>
      <c r="I52" t="s">
        <v>20</v>
      </c>
      <c r="J52" t="str">
        <f>TEXT(Table1[[#This Row],[Date]],"mmm")</f>
        <v>Feb</v>
      </c>
      <c r="K52">
        <f>YEAR(Table1[[#This Row],[Date]])</f>
        <v>2024</v>
      </c>
      <c r="L52" s="8">
        <f>MONTH(Table1[[#This Row],[Date]])</f>
        <v>2</v>
      </c>
    </row>
    <row r="53" spans="1:12" x14ac:dyDescent="0.3">
      <c r="A53" s="8">
        <v>10052</v>
      </c>
      <c r="B53" s="1">
        <v>45343</v>
      </c>
      <c r="C53" t="s">
        <v>21</v>
      </c>
      <c r="D53" t="s">
        <v>72</v>
      </c>
      <c r="E53" s="8">
        <v>2</v>
      </c>
      <c r="F53" s="6">
        <v>26.99</v>
      </c>
      <c r="G53" s="6">
        <v>53.98</v>
      </c>
      <c r="H53" t="s">
        <v>11</v>
      </c>
      <c r="I53" t="s">
        <v>12</v>
      </c>
      <c r="J53" t="str">
        <f>TEXT(Table1[[#This Row],[Date]],"mmm")</f>
        <v>Feb</v>
      </c>
      <c r="K53">
        <f>YEAR(Table1[[#This Row],[Date]])</f>
        <v>2024</v>
      </c>
      <c r="L53" s="8">
        <f>MONTH(Table1[[#This Row],[Date]])</f>
        <v>2</v>
      </c>
    </row>
    <row r="54" spans="1:12" x14ac:dyDescent="0.3">
      <c r="A54" s="8">
        <v>10053</v>
      </c>
      <c r="B54" s="1">
        <v>45344</v>
      </c>
      <c r="C54" t="s">
        <v>23</v>
      </c>
      <c r="D54" t="s">
        <v>73</v>
      </c>
      <c r="E54" s="8">
        <v>1</v>
      </c>
      <c r="F54" s="6">
        <v>49</v>
      </c>
      <c r="G54" s="6">
        <v>49</v>
      </c>
      <c r="H54" t="s">
        <v>15</v>
      </c>
      <c r="I54" t="s">
        <v>16</v>
      </c>
      <c r="J54" t="str">
        <f>TEXT(Table1[[#This Row],[Date]],"mmm")</f>
        <v>Feb</v>
      </c>
      <c r="K54">
        <f>YEAR(Table1[[#This Row],[Date]])</f>
        <v>2024</v>
      </c>
      <c r="L54" s="8">
        <f>MONTH(Table1[[#This Row],[Date]])</f>
        <v>2</v>
      </c>
    </row>
    <row r="55" spans="1:12" x14ac:dyDescent="0.3">
      <c r="A55" s="8">
        <v>10054</v>
      </c>
      <c r="B55" s="1">
        <v>45345</v>
      </c>
      <c r="C55" t="s">
        <v>25</v>
      </c>
      <c r="D55" t="s">
        <v>74</v>
      </c>
      <c r="E55" s="8">
        <v>5</v>
      </c>
      <c r="F55" s="6">
        <v>49.99</v>
      </c>
      <c r="G55" s="6">
        <v>249.95</v>
      </c>
      <c r="H55" t="s">
        <v>19</v>
      </c>
      <c r="I55" t="s">
        <v>12</v>
      </c>
      <c r="J55" t="str">
        <f>TEXT(Table1[[#This Row],[Date]],"mmm")</f>
        <v>Feb</v>
      </c>
      <c r="K55">
        <f>YEAR(Table1[[#This Row],[Date]])</f>
        <v>2024</v>
      </c>
      <c r="L55" s="8">
        <f>MONTH(Table1[[#This Row],[Date]])</f>
        <v>2</v>
      </c>
    </row>
    <row r="56" spans="1:12" x14ac:dyDescent="0.3">
      <c r="A56" s="8">
        <v>10055</v>
      </c>
      <c r="B56" s="1">
        <v>45346</v>
      </c>
      <c r="C56" t="s">
        <v>9</v>
      </c>
      <c r="D56" t="s">
        <v>75</v>
      </c>
      <c r="E56" s="8">
        <v>4</v>
      </c>
      <c r="F56" s="6">
        <v>59.99</v>
      </c>
      <c r="G56" s="6">
        <v>239.96</v>
      </c>
      <c r="H56" t="s">
        <v>11</v>
      </c>
      <c r="I56" t="s">
        <v>12</v>
      </c>
      <c r="J56" t="str">
        <f>TEXT(Table1[[#This Row],[Date]],"mmm")</f>
        <v>Feb</v>
      </c>
      <c r="K56">
        <f>YEAR(Table1[[#This Row],[Date]])</f>
        <v>2024</v>
      </c>
      <c r="L56" s="8">
        <f>MONTH(Table1[[#This Row],[Date]])</f>
        <v>2</v>
      </c>
    </row>
    <row r="57" spans="1:12" x14ac:dyDescent="0.3">
      <c r="A57" s="8">
        <v>10056</v>
      </c>
      <c r="B57" s="1">
        <v>45347</v>
      </c>
      <c r="C57" t="s">
        <v>13</v>
      </c>
      <c r="D57" t="s">
        <v>76</v>
      </c>
      <c r="E57" s="8">
        <v>1</v>
      </c>
      <c r="F57" s="6">
        <v>499.99</v>
      </c>
      <c r="G57" s="6">
        <v>499.99</v>
      </c>
      <c r="H57" t="s">
        <v>15</v>
      </c>
      <c r="I57" t="s">
        <v>16</v>
      </c>
      <c r="J57" t="str">
        <f>TEXT(Table1[[#This Row],[Date]],"mmm")</f>
        <v>Feb</v>
      </c>
      <c r="K57">
        <f>YEAR(Table1[[#This Row],[Date]])</f>
        <v>2024</v>
      </c>
      <c r="L57" s="8">
        <f>MONTH(Table1[[#This Row],[Date]])</f>
        <v>2</v>
      </c>
    </row>
    <row r="58" spans="1:12" x14ac:dyDescent="0.3">
      <c r="A58" s="8">
        <v>10057</v>
      </c>
      <c r="B58" s="1">
        <v>45348</v>
      </c>
      <c r="C58" t="s">
        <v>17</v>
      </c>
      <c r="D58" t="s">
        <v>77</v>
      </c>
      <c r="E58" s="8">
        <v>5</v>
      </c>
      <c r="F58" s="6">
        <v>29.99</v>
      </c>
      <c r="G58" s="6">
        <v>149.94999999999999</v>
      </c>
      <c r="H58" t="s">
        <v>19</v>
      </c>
      <c r="I58" t="s">
        <v>20</v>
      </c>
      <c r="J58" t="str">
        <f>TEXT(Table1[[#This Row],[Date]],"mmm")</f>
        <v>Feb</v>
      </c>
      <c r="K58">
        <f>YEAR(Table1[[#This Row],[Date]])</f>
        <v>2024</v>
      </c>
      <c r="L58" s="8">
        <f>MONTH(Table1[[#This Row],[Date]])</f>
        <v>2</v>
      </c>
    </row>
    <row r="59" spans="1:12" x14ac:dyDescent="0.3">
      <c r="A59" s="8">
        <v>10058</v>
      </c>
      <c r="B59" s="1">
        <v>45349</v>
      </c>
      <c r="C59" t="s">
        <v>21</v>
      </c>
      <c r="D59" t="s">
        <v>78</v>
      </c>
      <c r="E59" s="8">
        <v>3</v>
      </c>
      <c r="F59" s="6">
        <v>28</v>
      </c>
      <c r="G59" s="6">
        <v>84</v>
      </c>
      <c r="H59" t="s">
        <v>11</v>
      </c>
      <c r="I59" t="s">
        <v>12</v>
      </c>
      <c r="J59" t="str">
        <f>TEXT(Table1[[#This Row],[Date]],"mmm")</f>
        <v>Feb</v>
      </c>
      <c r="K59">
        <f>YEAR(Table1[[#This Row],[Date]])</f>
        <v>2024</v>
      </c>
      <c r="L59" s="8">
        <f>MONTH(Table1[[#This Row],[Date]])</f>
        <v>2</v>
      </c>
    </row>
    <row r="60" spans="1:12" x14ac:dyDescent="0.3">
      <c r="A60" s="8">
        <v>10059</v>
      </c>
      <c r="B60" s="1">
        <v>45350</v>
      </c>
      <c r="C60" t="s">
        <v>23</v>
      </c>
      <c r="D60" t="s">
        <v>79</v>
      </c>
      <c r="E60" s="8">
        <v>2</v>
      </c>
      <c r="F60" s="6">
        <v>23</v>
      </c>
      <c r="G60" s="6">
        <v>46</v>
      </c>
      <c r="H60" t="s">
        <v>15</v>
      </c>
      <c r="I60" t="s">
        <v>16</v>
      </c>
      <c r="J60" t="str">
        <f>TEXT(Table1[[#This Row],[Date]],"mmm")</f>
        <v>Feb</v>
      </c>
      <c r="K60">
        <f>YEAR(Table1[[#This Row],[Date]])</f>
        <v>2024</v>
      </c>
      <c r="L60" s="8">
        <f>MONTH(Table1[[#This Row],[Date]])</f>
        <v>2</v>
      </c>
    </row>
    <row r="61" spans="1:12" x14ac:dyDescent="0.3">
      <c r="A61" s="8">
        <v>10060</v>
      </c>
      <c r="B61" s="1">
        <v>45351</v>
      </c>
      <c r="C61" t="s">
        <v>25</v>
      </c>
      <c r="D61" t="s">
        <v>80</v>
      </c>
      <c r="E61" s="8">
        <v>1</v>
      </c>
      <c r="F61" s="6">
        <v>349</v>
      </c>
      <c r="G61" s="6">
        <v>349</v>
      </c>
      <c r="H61" t="s">
        <v>19</v>
      </c>
      <c r="I61" t="s">
        <v>12</v>
      </c>
      <c r="J61" t="str">
        <f>TEXT(Table1[[#This Row],[Date]],"mmm")</f>
        <v>Feb</v>
      </c>
      <c r="K61">
        <f>YEAR(Table1[[#This Row],[Date]])</f>
        <v>2024</v>
      </c>
      <c r="L61" s="8">
        <f>MONTH(Table1[[#This Row],[Date]])</f>
        <v>2</v>
      </c>
    </row>
    <row r="62" spans="1:12" x14ac:dyDescent="0.3">
      <c r="A62" s="8">
        <v>10061</v>
      </c>
      <c r="B62" s="1">
        <v>45352</v>
      </c>
      <c r="C62" t="s">
        <v>9</v>
      </c>
      <c r="D62" t="s">
        <v>81</v>
      </c>
      <c r="E62" s="8">
        <v>3</v>
      </c>
      <c r="F62" s="6">
        <v>299.99</v>
      </c>
      <c r="G62" s="6">
        <v>899.97</v>
      </c>
      <c r="H62" t="s">
        <v>11</v>
      </c>
      <c r="I62" t="s">
        <v>12</v>
      </c>
      <c r="J62" t="str">
        <f>TEXT(Table1[[#This Row],[Date]],"mmm")</f>
        <v>Mar</v>
      </c>
      <c r="K62">
        <f>YEAR(Table1[[#This Row],[Date]])</f>
        <v>2024</v>
      </c>
      <c r="L62" s="8">
        <f>MONTH(Table1[[#This Row],[Date]])</f>
        <v>3</v>
      </c>
    </row>
    <row r="63" spans="1:12" x14ac:dyDescent="0.3">
      <c r="A63" s="8">
        <v>10062</v>
      </c>
      <c r="B63" s="1">
        <v>45353</v>
      </c>
      <c r="C63" t="s">
        <v>13</v>
      </c>
      <c r="D63" t="s">
        <v>82</v>
      </c>
      <c r="E63" s="8">
        <v>2</v>
      </c>
      <c r="F63" s="6">
        <v>199.99</v>
      </c>
      <c r="G63" s="6">
        <v>399.98</v>
      </c>
      <c r="H63" t="s">
        <v>15</v>
      </c>
      <c r="I63" t="s">
        <v>16</v>
      </c>
      <c r="J63" t="str">
        <f>TEXT(Table1[[#This Row],[Date]],"mmm")</f>
        <v>Mar</v>
      </c>
      <c r="K63">
        <f>YEAR(Table1[[#This Row],[Date]])</f>
        <v>2024</v>
      </c>
      <c r="L63" s="8">
        <f>MONTH(Table1[[#This Row],[Date]])</f>
        <v>3</v>
      </c>
    </row>
    <row r="64" spans="1:12" x14ac:dyDescent="0.3">
      <c r="A64" s="8">
        <v>10063</v>
      </c>
      <c r="B64" s="1">
        <v>45354</v>
      </c>
      <c r="C64" t="s">
        <v>17</v>
      </c>
      <c r="D64" t="s">
        <v>83</v>
      </c>
      <c r="E64" s="8">
        <v>10</v>
      </c>
      <c r="F64" s="6">
        <v>9.99</v>
      </c>
      <c r="G64" s="6">
        <v>99.9</v>
      </c>
      <c r="H64" t="s">
        <v>19</v>
      </c>
      <c r="I64" t="s">
        <v>20</v>
      </c>
      <c r="J64" t="str">
        <f>TEXT(Table1[[#This Row],[Date]],"mmm")</f>
        <v>Mar</v>
      </c>
      <c r="K64">
        <f>YEAR(Table1[[#This Row],[Date]])</f>
        <v>2024</v>
      </c>
      <c r="L64" s="8">
        <f>MONTH(Table1[[#This Row],[Date]])</f>
        <v>3</v>
      </c>
    </row>
    <row r="65" spans="1:12" x14ac:dyDescent="0.3">
      <c r="A65" s="8">
        <v>10064</v>
      </c>
      <c r="B65" s="1">
        <v>45355</v>
      </c>
      <c r="C65" t="s">
        <v>21</v>
      </c>
      <c r="D65" t="s">
        <v>84</v>
      </c>
      <c r="E65" s="8">
        <v>4</v>
      </c>
      <c r="F65" s="6">
        <v>18.989999999999998</v>
      </c>
      <c r="G65" s="6">
        <v>75.959999999999994</v>
      </c>
      <c r="H65" t="s">
        <v>11</v>
      </c>
      <c r="I65" t="s">
        <v>12</v>
      </c>
      <c r="J65" t="str">
        <f>TEXT(Table1[[#This Row],[Date]],"mmm")</f>
        <v>Mar</v>
      </c>
      <c r="K65">
        <f>YEAR(Table1[[#This Row],[Date]])</f>
        <v>2024</v>
      </c>
      <c r="L65" s="8">
        <f>MONTH(Table1[[#This Row],[Date]])</f>
        <v>3</v>
      </c>
    </row>
    <row r="66" spans="1:12" x14ac:dyDescent="0.3">
      <c r="A66" s="8">
        <v>10065</v>
      </c>
      <c r="B66" s="1">
        <v>45356</v>
      </c>
      <c r="C66" t="s">
        <v>23</v>
      </c>
      <c r="D66" t="s">
        <v>85</v>
      </c>
      <c r="E66" s="8">
        <v>1</v>
      </c>
      <c r="F66" s="6">
        <v>102</v>
      </c>
      <c r="G66" s="6">
        <v>102</v>
      </c>
      <c r="H66" t="s">
        <v>15</v>
      </c>
      <c r="I66" t="s">
        <v>16</v>
      </c>
      <c r="J66" t="str">
        <f>TEXT(Table1[[#This Row],[Date]],"mmm")</f>
        <v>Mar</v>
      </c>
      <c r="K66">
        <f>YEAR(Table1[[#This Row],[Date]])</f>
        <v>2024</v>
      </c>
      <c r="L66" s="8">
        <f>MONTH(Table1[[#This Row],[Date]])</f>
        <v>3</v>
      </c>
    </row>
    <row r="67" spans="1:12" x14ac:dyDescent="0.3">
      <c r="A67" s="8">
        <v>10066</v>
      </c>
      <c r="B67" s="1">
        <v>45357</v>
      </c>
      <c r="C67" t="s">
        <v>25</v>
      </c>
      <c r="D67" t="s">
        <v>86</v>
      </c>
      <c r="E67" s="8">
        <v>2</v>
      </c>
      <c r="F67" s="6">
        <v>299.99</v>
      </c>
      <c r="G67" s="6">
        <v>599.98</v>
      </c>
      <c r="H67" t="s">
        <v>19</v>
      </c>
      <c r="I67" t="s">
        <v>12</v>
      </c>
      <c r="J67" t="str">
        <f>TEXT(Table1[[#This Row],[Date]],"mmm")</f>
        <v>Mar</v>
      </c>
      <c r="K67">
        <f>YEAR(Table1[[#This Row],[Date]])</f>
        <v>2024</v>
      </c>
      <c r="L67" s="8">
        <f>MONTH(Table1[[#This Row],[Date]])</f>
        <v>3</v>
      </c>
    </row>
    <row r="68" spans="1:12" x14ac:dyDescent="0.3">
      <c r="A68" s="8">
        <v>10067</v>
      </c>
      <c r="B68" s="1">
        <v>45358</v>
      </c>
      <c r="C68" t="s">
        <v>9</v>
      </c>
      <c r="D68" t="s">
        <v>87</v>
      </c>
      <c r="E68" s="8">
        <v>1</v>
      </c>
      <c r="F68" s="6">
        <v>1199.99</v>
      </c>
      <c r="G68" s="6">
        <v>1199.99</v>
      </c>
      <c r="H68" t="s">
        <v>11</v>
      </c>
      <c r="I68" t="s">
        <v>12</v>
      </c>
      <c r="J68" t="str">
        <f>TEXT(Table1[[#This Row],[Date]],"mmm")</f>
        <v>Mar</v>
      </c>
      <c r="K68">
        <f>YEAR(Table1[[#This Row],[Date]])</f>
        <v>2024</v>
      </c>
      <c r="L68" s="8">
        <f>MONTH(Table1[[#This Row],[Date]])</f>
        <v>3</v>
      </c>
    </row>
    <row r="69" spans="1:12" x14ac:dyDescent="0.3">
      <c r="A69" s="8">
        <v>10068</v>
      </c>
      <c r="B69" s="1">
        <v>45359</v>
      </c>
      <c r="C69" t="s">
        <v>13</v>
      </c>
      <c r="D69" t="s">
        <v>88</v>
      </c>
      <c r="E69" s="8">
        <v>3</v>
      </c>
      <c r="F69" s="6">
        <v>219.99</v>
      </c>
      <c r="G69" s="6">
        <v>659.97</v>
      </c>
      <c r="H69" t="s">
        <v>15</v>
      </c>
      <c r="I69" t="s">
        <v>16</v>
      </c>
      <c r="J69" t="str">
        <f>TEXT(Table1[[#This Row],[Date]],"mmm")</f>
        <v>Mar</v>
      </c>
      <c r="K69">
        <f>YEAR(Table1[[#This Row],[Date]])</f>
        <v>2024</v>
      </c>
      <c r="L69" s="8">
        <f>MONTH(Table1[[#This Row],[Date]])</f>
        <v>3</v>
      </c>
    </row>
    <row r="70" spans="1:12" x14ac:dyDescent="0.3">
      <c r="A70" s="8">
        <v>10069</v>
      </c>
      <c r="B70" s="1">
        <v>45360</v>
      </c>
      <c r="C70" t="s">
        <v>17</v>
      </c>
      <c r="D70" t="s">
        <v>89</v>
      </c>
      <c r="E70" s="8">
        <v>4</v>
      </c>
      <c r="F70" s="6">
        <v>59.99</v>
      </c>
      <c r="G70" s="6">
        <v>239.96</v>
      </c>
      <c r="H70" t="s">
        <v>19</v>
      </c>
      <c r="I70" t="s">
        <v>20</v>
      </c>
      <c r="J70" t="str">
        <f>TEXT(Table1[[#This Row],[Date]],"mmm")</f>
        <v>Mar</v>
      </c>
      <c r="K70">
        <f>YEAR(Table1[[#This Row],[Date]])</f>
        <v>2024</v>
      </c>
      <c r="L70" s="8">
        <f>MONTH(Table1[[#This Row],[Date]])</f>
        <v>3</v>
      </c>
    </row>
    <row r="71" spans="1:12" x14ac:dyDescent="0.3">
      <c r="A71" s="8">
        <v>10070</v>
      </c>
      <c r="B71" s="1">
        <v>45361</v>
      </c>
      <c r="C71" t="s">
        <v>21</v>
      </c>
      <c r="D71" t="s">
        <v>90</v>
      </c>
      <c r="E71" s="8">
        <v>2</v>
      </c>
      <c r="F71" s="6">
        <v>10.99</v>
      </c>
      <c r="G71" s="6">
        <v>21.98</v>
      </c>
      <c r="H71" t="s">
        <v>11</v>
      </c>
      <c r="I71" t="s">
        <v>12</v>
      </c>
      <c r="J71" t="str">
        <f>TEXT(Table1[[#This Row],[Date]],"mmm")</f>
        <v>Mar</v>
      </c>
      <c r="K71">
        <f>YEAR(Table1[[#This Row],[Date]])</f>
        <v>2024</v>
      </c>
      <c r="L71" s="8">
        <f>MONTH(Table1[[#This Row],[Date]])</f>
        <v>3</v>
      </c>
    </row>
    <row r="72" spans="1:12" x14ac:dyDescent="0.3">
      <c r="A72" s="8">
        <v>10071</v>
      </c>
      <c r="B72" s="1">
        <v>45362</v>
      </c>
      <c r="C72" t="s">
        <v>23</v>
      </c>
      <c r="D72" t="s">
        <v>91</v>
      </c>
      <c r="E72" s="8">
        <v>1</v>
      </c>
      <c r="F72" s="6">
        <v>78</v>
      </c>
      <c r="G72" s="6">
        <v>78</v>
      </c>
      <c r="H72" t="s">
        <v>15</v>
      </c>
      <c r="I72" t="s">
        <v>16</v>
      </c>
      <c r="J72" t="str">
        <f>TEXT(Table1[[#This Row],[Date]],"mmm")</f>
        <v>Mar</v>
      </c>
      <c r="K72">
        <f>YEAR(Table1[[#This Row],[Date]])</f>
        <v>2024</v>
      </c>
      <c r="L72" s="8">
        <f>MONTH(Table1[[#This Row],[Date]])</f>
        <v>3</v>
      </c>
    </row>
    <row r="73" spans="1:12" x14ac:dyDescent="0.3">
      <c r="A73" s="8">
        <v>10072</v>
      </c>
      <c r="B73" s="1">
        <v>45363</v>
      </c>
      <c r="C73" t="s">
        <v>25</v>
      </c>
      <c r="D73" t="s">
        <v>92</v>
      </c>
      <c r="E73" s="8">
        <v>3</v>
      </c>
      <c r="F73" s="6">
        <v>129.99</v>
      </c>
      <c r="G73" s="6">
        <v>389.97</v>
      </c>
      <c r="H73" t="s">
        <v>19</v>
      </c>
      <c r="I73" t="s">
        <v>12</v>
      </c>
      <c r="J73" t="str">
        <f>TEXT(Table1[[#This Row],[Date]],"mmm")</f>
        <v>Mar</v>
      </c>
      <c r="K73">
        <f>YEAR(Table1[[#This Row],[Date]])</f>
        <v>2024</v>
      </c>
      <c r="L73" s="8">
        <f>MONTH(Table1[[#This Row],[Date]])</f>
        <v>3</v>
      </c>
    </row>
    <row r="74" spans="1:12" x14ac:dyDescent="0.3">
      <c r="A74" s="8">
        <v>10073</v>
      </c>
      <c r="B74" s="1">
        <v>45364</v>
      </c>
      <c r="C74" t="s">
        <v>9</v>
      </c>
      <c r="D74" t="s">
        <v>93</v>
      </c>
      <c r="E74" s="8">
        <v>1</v>
      </c>
      <c r="F74" s="6">
        <v>1599.99</v>
      </c>
      <c r="G74" s="6">
        <v>1599.99</v>
      </c>
      <c r="H74" t="s">
        <v>11</v>
      </c>
      <c r="I74" t="s">
        <v>12</v>
      </c>
      <c r="J74" t="str">
        <f>TEXT(Table1[[#This Row],[Date]],"mmm")</f>
        <v>Mar</v>
      </c>
      <c r="K74">
        <f>YEAR(Table1[[#This Row],[Date]])</f>
        <v>2024</v>
      </c>
      <c r="L74" s="8">
        <f>MONTH(Table1[[#This Row],[Date]])</f>
        <v>3</v>
      </c>
    </row>
    <row r="75" spans="1:12" x14ac:dyDescent="0.3">
      <c r="A75" s="8">
        <v>10074</v>
      </c>
      <c r="B75" s="1">
        <v>45365</v>
      </c>
      <c r="C75" t="s">
        <v>13</v>
      </c>
      <c r="D75" t="s">
        <v>94</v>
      </c>
      <c r="E75" s="8">
        <v>1</v>
      </c>
      <c r="F75" s="6">
        <v>899.99</v>
      </c>
      <c r="G75" s="6">
        <v>899.99</v>
      </c>
      <c r="H75" t="s">
        <v>15</v>
      </c>
      <c r="I75" t="s">
        <v>16</v>
      </c>
      <c r="J75" t="str">
        <f>TEXT(Table1[[#This Row],[Date]],"mmm")</f>
        <v>Mar</v>
      </c>
      <c r="K75">
        <f>YEAR(Table1[[#This Row],[Date]])</f>
        <v>2024</v>
      </c>
      <c r="L75" s="8">
        <f>MONTH(Table1[[#This Row],[Date]])</f>
        <v>3</v>
      </c>
    </row>
    <row r="76" spans="1:12" x14ac:dyDescent="0.3">
      <c r="A76" s="8">
        <v>10075</v>
      </c>
      <c r="B76" s="1">
        <v>45366</v>
      </c>
      <c r="C76" t="s">
        <v>17</v>
      </c>
      <c r="D76" t="s">
        <v>95</v>
      </c>
      <c r="E76" s="8">
        <v>5</v>
      </c>
      <c r="F76" s="6">
        <v>49.99</v>
      </c>
      <c r="G76" s="6">
        <v>249.95</v>
      </c>
      <c r="H76" t="s">
        <v>19</v>
      </c>
      <c r="I76" t="s">
        <v>20</v>
      </c>
      <c r="J76" t="str">
        <f>TEXT(Table1[[#This Row],[Date]],"mmm")</f>
        <v>Mar</v>
      </c>
      <c r="K76">
        <f>YEAR(Table1[[#This Row],[Date]])</f>
        <v>2024</v>
      </c>
      <c r="L76" s="8">
        <f>MONTH(Table1[[#This Row],[Date]])</f>
        <v>3</v>
      </c>
    </row>
    <row r="77" spans="1:12" x14ac:dyDescent="0.3">
      <c r="A77" s="8">
        <v>10076</v>
      </c>
      <c r="B77" s="1">
        <v>45367</v>
      </c>
      <c r="C77" t="s">
        <v>21</v>
      </c>
      <c r="D77" t="s">
        <v>96</v>
      </c>
      <c r="E77" s="8">
        <v>4</v>
      </c>
      <c r="F77" s="6">
        <v>14.99</v>
      </c>
      <c r="G77" s="6">
        <v>59.96</v>
      </c>
      <c r="H77" t="s">
        <v>11</v>
      </c>
      <c r="I77" t="s">
        <v>12</v>
      </c>
      <c r="J77" t="str">
        <f>TEXT(Table1[[#This Row],[Date]],"mmm")</f>
        <v>Mar</v>
      </c>
      <c r="K77">
        <f>YEAR(Table1[[#This Row],[Date]])</f>
        <v>2024</v>
      </c>
      <c r="L77" s="8">
        <f>MONTH(Table1[[#This Row],[Date]])</f>
        <v>3</v>
      </c>
    </row>
    <row r="78" spans="1:12" x14ac:dyDescent="0.3">
      <c r="A78" s="8">
        <v>10077</v>
      </c>
      <c r="B78" s="1">
        <v>45368</v>
      </c>
      <c r="C78" t="s">
        <v>23</v>
      </c>
      <c r="D78" t="s">
        <v>97</v>
      </c>
      <c r="E78" s="8">
        <v>2</v>
      </c>
      <c r="F78" s="6">
        <v>16</v>
      </c>
      <c r="G78" s="6">
        <v>32</v>
      </c>
      <c r="H78" t="s">
        <v>15</v>
      </c>
      <c r="I78" t="s">
        <v>16</v>
      </c>
      <c r="J78" t="str">
        <f>TEXT(Table1[[#This Row],[Date]],"mmm")</f>
        <v>Mar</v>
      </c>
      <c r="K78">
        <f>YEAR(Table1[[#This Row],[Date]])</f>
        <v>2024</v>
      </c>
      <c r="L78" s="8">
        <f>MONTH(Table1[[#This Row],[Date]])</f>
        <v>3</v>
      </c>
    </row>
    <row r="79" spans="1:12" x14ac:dyDescent="0.3">
      <c r="A79" s="8">
        <v>10078</v>
      </c>
      <c r="B79" s="1">
        <v>45369</v>
      </c>
      <c r="C79" t="s">
        <v>25</v>
      </c>
      <c r="D79" t="s">
        <v>98</v>
      </c>
      <c r="E79" s="8">
        <v>3</v>
      </c>
      <c r="F79" s="6">
        <v>69.989999999999995</v>
      </c>
      <c r="G79" s="6">
        <v>209.97</v>
      </c>
      <c r="H79" t="s">
        <v>19</v>
      </c>
      <c r="I79" t="s">
        <v>12</v>
      </c>
      <c r="J79" t="str">
        <f>TEXT(Table1[[#This Row],[Date]],"mmm")</f>
        <v>Mar</v>
      </c>
      <c r="K79">
        <f>YEAR(Table1[[#This Row],[Date]])</f>
        <v>2024</v>
      </c>
      <c r="L79" s="8">
        <f>MONTH(Table1[[#This Row],[Date]])</f>
        <v>3</v>
      </c>
    </row>
    <row r="80" spans="1:12" x14ac:dyDescent="0.3">
      <c r="A80" s="8">
        <v>10079</v>
      </c>
      <c r="B80" s="1">
        <v>45370</v>
      </c>
      <c r="C80" t="s">
        <v>9</v>
      </c>
      <c r="D80" t="s">
        <v>99</v>
      </c>
      <c r="E80" s="8">
        <v>2</v>
      </c>
      <c r="F80" s="6">
        <v>249.99</v>
      </c>
      <c r="G80" s="6">
        <v>499.98</v>
      </c>
      <c r="H80" t="s">
        <v>11</v>
      </c>
      <c r="I80" t="s">
        <v>12</v>
      </c>
      <c r="J80" t="str">
        <f>TEXT(Table1[[#This Row],[Date]],"mmm")</f>
        <v>Mar</v>
      </c>
      <c r="K80">
        <f>YEAR(Table1[[#This Row],[Date]])</f>
        <v>2024</v>
      </c>
      <c r="L80" s="8">
        <f>MONTH(Table1[[#This Row],[Date]])</f>
        <v>3</v>
      </c>
    </row>
    <row r="81" spans="1:12" x14ac:dyDescent="0.3">
      <c r="A81" s="8">
        <v>10080</v>
      </c>
      <c r="B81" s="1">
        <v>45371</v>
      </c>
      <c r="C81" t="s">
        <v>13</v>
      </c>
      <c r="D81" t="s">
        <v>100</v>
      </c>
      <c r="E81" s="8">
        <v>1</v>
      </c>
      <c r="F81" s="6">
        <v>499.99</v>
      </c>
      <c r="G81" s="6">
        <v>499.99</v>
      </c>
      <c r="H81" t="s">
        <v>15</v>
      </c>
      <c r="I81" t="s">
        <v>16</v>
      </c>
      <c r="J81" t="str">
        <f>TEXT(Table1[[#This Row],[Date]],"mmm")</f>
        <v>Mar</v>
      </c>
      <c r="K81">
        <f>YEAR(Table1[[#This Row],[Date]])</f>
        <v>2024</v>
      </c>
      <c r="L81" s="8">
        <f>MONTH(Table1[[#This Row],[Date]])</f>
        <v>3</v>
      </c>
    </row>
    <row r="82" spans="1:12" x14ac:dyDescent="0.3">
      <c r="A82" s="8">
        <v>10081</v>
      </c>
      <c r="B82" s="1">
        <v>45372</v>
      </c>
      <c r="C82" t="s">
        <v>17</v>
      </c>
      <c r="D82" t="s">
        <v>101</v>
      </c>
      <c r="E82" s="8">
        <v>2</v>
      </c>
      <c r="F82" s="6">
        <v>89.99</v>
      </c>
      <c r="G82" s="6">
        <v>179.98</v>
      </c>
      <c r="H82" t="s">
        <v>19</v>
      </c>
      <c r="I82" t="s">
        <v>20</v>
      </c>
      <c r="J82" t="str">
        <f>TEXT(Table1[[#This Row],[Date]],"mmm")</f>
        <v>Mar</v>
      </c>
      <c r="K82">
        <f>YEAR(Table1[[#This Row],[Date]])</f>
        <v>2024</v>
      </c>
      <c r="L82" s="8">
        <f>MONTH(Table1[[#This Row],[Date]])</f>
        <v>3</v>
      </c>
    </row>
    <row r="83" spans="1:12" x14ac:dyDescent="0.3">
      <c r="A83" s="8">
        <v>10082</v>
      </c>
      <c r="B83" s="1">
        <v>45373</v>
      </c>
      <c r="C83" t="s">
        <v>21</v>
      </c>
      <c r="D83" t="s">
        <v>102</v>
      </c>
      <c r="E83" s="8">
        <v>3</v>
      </c>
      <c r="F83" s="6">
        <v>12.99</v>
      </c>
      <c r="G83" s="6">
        <v>38.97</v>
      </c>
      <c r="H83" t="s">
        <v>11</v>
      </c>
      <c r="I83" t="s">
        <v>12</v>
      </c>
      <c r="J83" t="str">
        <f>TEXT(Table1[[#This Row],[Date]],"mmm")</f>
        <v>Mar</v>
      </c>
      <c r="K83">
        <f>YEAR(Table1[[#This Row],[Date]])</f>
        <v>2024</v>
      </c>
      <c r="L83" s="8">
        <f>MONTH(Table1[[#This Row],[Date]])</f>
        <v>3</v>
      </c>
    </row>
    <row r="84" spans="1:12" x14ac:dyDescent="0.3">
      <c r="A84" s="8">
        <v>10083</v>
      </c>
      <c r="B84" s="1">
        <v>45374</v>
      </c>
      <c r="C84" t="s">
        <v>23</v>
      </c>
      <c r="D84" t="s">
        <v>103</v>
      </c>
      <c r="E84" s="8">
        <v>1</v>
      </c>
      <c r="F84" s="6">
        <v>100</v>
      </c>
      <c r="G84" s="6">
        <v>100</v>
      </c>
      <c r="H84" t="s">
        <v>15</v>
      </c>
      <c r="I84" t="s">
        <v>16</v>
      </c>
      <c r="J84" t="str">
        <f>TEXT(Table1[[#This Row],[Date]],"mmm")</f>
        <v>Mar</v>
      </c>
      <c r="K84">
        <f>YEAR(Table1[[#This Row],[Date]])</f>
        <v>2024</v>
      </c>
      <c r="L84" s="8">
        <f>MONTH(Table1[[#This Row],[Date]])</f>
        <v>3</v>
      </c>
    </row>
    <row r="85" spans="1:12" x14ac:dyDescent="0.3">
      <c r="A85" s="8">
        <v>10084</v>
      </c>
      <c r="B85" s="1">
        <v>45375</v>
      </c>
      <c r="C85" t="s">
        <v>25</v>
      </c>
      <c r="D85" t="s">
        <v>104</v>
      </c>
      <c r="E85" s="8">
        <v>6</v>
      </c>
      <c r="F85" s="6">
        <v>24.99</v>
      </c>
      <c r="G85" s="6">
        <v>149.94</v>
      </c>
      <c r="H85" t="s">
        <v>19</v>
      </c>
      <c r="I85" t="s">
        <v>12</v>
      </c>
      <c r="J85" t="str">
        <f>TEXT(Table1[[#This Row],[Date]],"mmm")</f>
        <v>Mar</v>
      </c>
      <c r="K85">
        <f>YEAR(Table1[[#This Row],[Date]])</f>
        <v>2024</v>
      </c>
      <c r="L85" s="8">
        <f>MONTH(Table1[[#This Row],[Date]])</f>
        <v>3</v>
      </c>
    </row>
    <row r="86" spans="1:12" x14ac:dyDescent="0.3">
      <c r="A86" s="8">
        <v>10085</v>
      </c>
      <c r="B86" s="1">
        <v>45376</v>
      </c>
      <c r="C86" t="s">
        <v>9</v>
      </c>
      <c r="D86" t="s">
        <v>105</v>
      </c>
      <c r="E86" s="8">
        <v>1</v>
      </c>
      <c r="F86" s="6">
        <v>99.99</v>
      </c>
      <c r="G86" s="6">
        <v>99.99</v>
      </c>
      <c r="H86" t="s">
        <v>11</v>
      </c>
      <c r="I86" t="s">
        <v>12</v>
      </c>
      <c r="J86" t="str">
        <f>TEXT(Table1[[#This Row],[Date]],"mmm")</f>
        <v>Mar</v>
      </c>
      <c r="K86">
        <f>YEAR(Table1[[#This Row],[Date]])</f>
        <v>2024</v>
      </c>
      <c r="L86" s="8">
        <f>MONTH(Table1[[#This Row],[Date]])</f>
        <v>3</v>
      </c>
    </row>
    <row r="87" spans="1:12" x14ac:dyDescent="0.3">
      <c r="A87" s="8">
        <v>10086</v>
      </c>
      <c r="B87" s="1">
        <v>45377</v>
      </c>
      <c r="C87" t="s">
        <v>13</v>
      </c>
      <c r="D87" t="s">
        <v>106</v>
      </c>
      <c r="E87" s="8">
        <v>2</v>
      </c>
      <c r="F87" s="6">
        <v>1299.99</v>
      </c>
      <c r="G87" s="6">
        <v>2599.98</v>
      </c>
      <c r="H87" t="s">
        <v>15</v>
      </c>
      <c r="I87" t="s">
        <v>16</v>
      </c>
      <c r="J87" t="str">
        <f>TEXT(Table1[[#This Row],[Date]],"mmm")</f>
        <v>Mar</v>
      </c>
      <c r="K87">
        <f>YEAR(Table1[[#This Row],[Date]])</f>
        <v>2024</v>
      </c>
      <c r="L87" s="8">
        <f>MONTH(Table1[[#This Row],[Date]])</f>
        <v>3</v>
      </c>
    </row>
    <row r="88" spans="1:12" x14ac:dyDescent="0.3">
      <c r="A88" s="8">
        <v>10087</v>
      </c>
      <c r="B88" s="1">
        <v>45378</v>
      </c>
      <c r="C88" t="s">
        <v>17</v>
      </c>
      <c r="D88" t="s">
        <v>107</v>
      </c>
      <c r="E88" s="8">
        <v>3</v>
      </c>
      <c r="F88" s="6">
        <v>79.989999999999995</v>
      </c>
      <c r="G88" s="6">
        <v>239.97</v>
      </c>
      <c r="H88" t="s">
        <v>19</v>
      </c>
      <c r="I88" t="s">
        <v>20</v>
      </c>
      <c r="J88" t="str">
        <f>TEXT(Table1[[#This Row],[Date]],"mmm")</f>
        <v>Mar</v>
      </c>
      <c r="K88">
        <f>YEAR(Table1[[#This Row],[Date]])</f>
        <v>2024</v>
      </c>
      <c r="L88" s="8">
        <f>MONTH(Table1[[#This Row],[Date]])</f>
        <v>3</v>
      </c>
    </row>
    <row r="89" spans="1:12" x14ac:dyDescent="0.3">
      <c r="A89" s="8">
        <v>10088</v>
      </c>
      <c r="B89" s="1">
        <v>45379</v>
      </c>
      <c r="C89" t="s">
        <v>21</v>
      </c>
      <c r="D89" t="s">
        <v>108</v>
      </c>
      <c r="E89" s="8">
        <v>4</v>
      </c>
      <c r="F89" s="6">
        <v>13.99</v>
      </c>
      <c r="G89" s="6">
        <v>55.96</v>
      </c>
      <c r="H89" t="s">
        <v>11</v>
      </c>
      <c r="I89" t="s">
        <v>12</v>
      </c>
      <c r="J89" t="str">
        <f>TEXT(Table1[[#This Row],[Date]],"mmm")</f>
        <v>Mar</v>
      </c>
      <c r="K89">
        <f>YEAR(Table1[[#This Row],[Date]])</f>
        <v>2024</v>
      </c>
      <c r="L89" s="8">
        <f>MONTH(Table1[[#This Row],[Date]])</f>
        <v>3</v>
      </c>
    </row>
    <row r="90" spans="1:12" x14ac:dyDescent="0.3">
      <c r="A90" s="8">
        <v>10089</v>
      </c>
      <c r="B90" s="1">
        <v>45380</v>
      </c>
      <c r="C90" t="s">
        <v>23</v>
      </c>
      <c r="D90" t="s">
        <v>109</v>
      </c>
      <c r="E90" s="8">
        <v>1</v>
      </c>
      <c r="F90" s="6">
        <v>105</v>
      </c>
      <c r="G90" s="6">
        <v>105</v>
      </c>
      <c r="H90" t="s">
        <v>15</v>
      </c>
      <c r="I90" t="s">
        <v>16</v>
      </c>
      <c r="J90" t="str">
        <f>TEXT(Table1[[#This Row],[Date]],"mmm")</f>
        <v>Mar</v>
      </c>
      <c r="K90">
        <f>YEAR(Table1[[#This Row],[Date]])</f>
        <v>2024</v>
      </c>
      <c r="L90" s="8">
        <f>MONTH(Table1[[#This Row],[Date]])</f>
        <v>3</v>
      </c>
    </row>
    <row r="91" spans="1:12" x14ac:dyDescent="0.3">
      <c r="A91" s="8">
        <v>10090</v>
      </c>
      <c r="B91" s="1">
        <v>45381</v>
      </c>
      <c r="C91" t="s">
        <v>25</v>
      </c>
      <c r="D91" t="s">
        <v>110</v>
      </c>
      <c r="E91" s="8">
        <v>2</v>
      </c>
      <c r="F91" s="6">
        <v>129.99</v>
      </c>
      <c r="G91" s="6">
        <v>259.98</v>
      </c>
      <c r="H91" t="s">
        <v>19</v>
      </c>
      <c r="I91" t="s">
        <v>12</v>
      </c>
      <c r="J91" t="str">
        <f>TEXT(Table1[[#This Row],[Date]],"mmm")</f>
        <v>Mar</v>
      </c>
      <c r="K91">
        <f>YEAR(Table1[[#This Row],[Date]])</f>
        <v>2024</v>
      </c>
      <c r="L91" s="8">
        <f>MONTH(Table1[[#This Row],[Date]])</f>
        <v>3</v>
      </c>
    </row>
    <row r="92" spans="1:12" x14ac:dyDescent="0.3">
      <c r="A92" s="8">
        <v>10091</v>
      </c>
      <c r="B92" s="1">
        <v>45382</v>
      </c>
      <c r="C92" t="s">
        <v>9</v>
      </c>
      <c r="D92" t="s">
        <v>111</v>
      </c>
      <c r="E92" s="8">
        <v>2</v>
      </c>
      <c r="F92" s="6">
        <v>99.99</v>
      </c>
      <c r="G92" s="6">
        <v>199.98</v>
      </c>
      <c r="H92" t="s">
        <v>11</v>
      </c>
      <c r="I92" t="s">
        <v>12</v>
      </c>
      <c r="J92" t="str">
        <f>TEXT(Table1[[#This Row],[Date]],"mmm")</f>
        <v>Mar</v>
      </c>
      <c r="K92">
        <f>YEAR(Table1[[#This Row],[Date]])</f>
        <v>2024</v>
      </c>
      <c r="L92" s="8">
        <f>MONTH(Table1[[#This Row],[Date]])</f>
        <v>3</v>
      </c>
    </row>
    <row r="93" spans="1:12" x14ac:dyDescent="0.3">
      <c r="A93" s="8">
        <v>10092</v>
      </c>
      <c r="B93" s="1">
        <v>45383</v>
      </c>
      <c r="C93" t="s">
        <v>13</v>
      </c>
      <c r="D93" t="s">
        <v>112</v>
      </c>
      <c r="E93" s="8">
        <v>1</v>
      </c>
      <c r="F93" s="6">
        <v>179.99</v>
      </c>
      <c r="G93" s="6">
        <v>179.99</v>
      </c>
      <c r="H93" t="s">
        <v>15</v>
      </c>
      <c r="I93" t="s">
        <v>16</v>
      </c>
      <c r="J93" t="str">
        <f>TEXT(Table1[[#This Row],[Date]],"mmm")</f>
        <v>Apr</v>
      </c>
      <c r="K93">
        <f>YEAR(Table1[[#This Row],[Date]])</f>
        <v>2024</v>
      </c>
      <c r="L93" s="8">
        <f>MONTH(Table1[[#This Row],[Date]])</f>
        <v>4</v>
      </c>
    </row>
    <row r="94" spans="1:12" x14ac:dyDescent="0.3">
      <c r="A94" s="8">
        <v>10093</v>
      </c>
      <c r="B94" s="1">
        <v>45384</v>
      </c>
      <c r="C94" t="s">
        <v>17</v>
      </c>
      <c r="D94" t="s">
        <v>113</v>
      </c>
      <c r="E94" s="8">
        <v>4</v>
      </c>
      <c r="F94" s="6">
        <v>79.989999999999995</v>
      </c>
      <c r="G94" s="6">
        <v>319.95999999999998</v>
      </c>
      <c r="H94" t="s">
        <v>19</v>
      </c>
      <c r="I94" t="s">
        <v>20</v>
      </c>
      <c r="J94" t="str">
        <f>TEXT(Table1[[#This Row],[Date]],"mmm")</f>
        <v>Apr</v>
      </c>
      <c r="K94">
        <f>YEAR(Table1[[#This Row],[Date]])</f>
        <v>2024</v>
      </c>
      <c r="L94" s="8">
        <f>MONTH(Table1[[#This Row],[Date]])</f>
        <v>4</v>
      </c>
    </row>
    <row r="95" spans="1:12" x14ac:dyDescent="0.3">
      <c r="A95" s="8">
        <v>10094</v>
      </c>
      <c r="B95" s="1">
        <v>45385</v>
      </c>
      <c r="C95" t="s">
        <v>21</v>
      </c>
      <c r="D95" t="s">
        <v>114</v>
      </c>
      <c r="E95" s="8">
        <v>3</v>
      </c>
      <c r="F95" s="6">
        <v>14.99</v>
      </c>
      <c r="G95" s="6">
        <v>44.97</v>
      </c>
      <c r="H95" t="s">
        <v>11</v>
      </c>
      <c r="I95" t="s">
        <v>12</v>
      </c>
      <c r="J95" t="str">
        <f>TEXT(Table1[[#This Row],[Date]],"mmm")</f>
        <v>Apr</v>
      </c>
      <c r="K95">
        <f>YEAR(Table1[[#This Row],[Date]])</f>
        <v>2024</v>
      </c>
      <c r="L95" s="8">
        <f>MONTH(Table1[[#This Row],[Date]])</f>
        <v>4</v>
      </c>
    </row>
    <row r="96" spans="1:12" x14ac:dyDescent="0.3">
      <c r="A96" s="8">
        <v>10095</v>
      </c>
      <c r="B96" s="1">
        <v>45386</v>
      </c>
      <c r="C96" t="s">
        <v>23</v>
      </c>
      <c r="D96" t="s">
        <v>115</v>
      </c>
      <c r="E96" s="8">
        <v>1</v>
      </c>
      <c r="F96" s="6">
        <v>68</v>
      </c>
      <c r="G96" s="6">
        <v>68</v>
      </c>
      <c r="H96" t="s">
        <v>15</v>
      </c>
      <c r="I96" t="s">
        <v>16</v>
      </c>
      <c r="J96" t="str">
        <f>TEXT(Table1[[#This Row],[Date]],"mmm")</f>
        <v>Apr</v>
      </c>
      <c r="K96">
        <f>YEAR(Table1[[#This Row],[Date]])</f>
        <v>2024</v>
      </c>
      <c r="L96" s="8">
        <f>MONTH(Table1[[#This Row],[Date]])</f>
        <v>4</v>
      </c>
    </row>
    <row r="97" spans="1:12" x14ac:dyDescent="0.3">
      <c r="A97" s="8">
        <v>10096</v>
      </c>
      <c r="B97" s="1">
        <v>45387</v>
      </c>
      <c r="C97" t="s">
        <v>25</v>
      </c>
      <c r="D97" t="s">
        <v>116</v>
      </c>
      <c r="E97" s="8">
        <v>1</v>
      </c>
      <c r="F97" s="6">
        <v>999.99</v>
      </c>
      <c r="G97" s="6">
        <v>999.99</v>
      </c>
      <c r="H97" t="s">
        <v>19</v>
      </c>
      <c r="I97" t="s">
        <v>12</v>
      </c>
      <c r="J97" t="str">
        <f>TEXT(Table1[[#This Row],[Date]],"mmm")</f>
        <v>Apr</v>
      </c>
      <c r="K97">
        <f>YEAR(Table1[[#This Row],[Date]])</f>
        <v>2024</v>
      </c>
      <c r="L97" s="8">
        <f>MONTH(Table1[[#This Row],[Date]])</f>
        <v>4</v>
      </c>
    </row>
    <row r="98" spans="1:12" x14ac:dyDescent="0.3">
      <c r="A98" s="8">
        <v>10097</v>
      </c>
      <c r="B98" s="1">
        <v>45388</v>
      </c>
      <c r="C98" t="s">
        <v>9</v>
      </c>
      <c r="D98" t="s">
        <v>117</v>
      </c>
      <c r="E98" s="8">
        <v>3</v>
      </c>
      <c r="F98" s="6">
        <v>299.99</v>
      </c>
      <c r="G98" s="6">
        <v>899.97</v>
      </c>
      <c r="H98" t="s">
        <v>11</v>
      </c>
      <c r="I98" t="s">
        <v>12</v>
      </c>
      <c r="J98" t="str">
        <f>TEXT(Table1[[#This Row],[Date]],"mmm")</f>
        <v>Apr</v>
      </c>
      <c r="K98">
        <f>YEAR(Table1[[#This Row],[Date]])</f>
        <v>2024</v>
      </c>
      <c r="L98" s="8">
        <f>MONTH(Table1[[#This Row],[Date]])</f>
        <v>4</v>
      </c>
    </row>
    <row r="99" spans="1:12" x14ac:dyDescent="0.3">
      <c r="A99" s="8">
        <v>10098</v>
      </c>
      <c r="B99" s="1">
        <v>45389</v>
      </c>
      <c r="C99" t="s">
        <v>13</v>
      </c>
      <c r="D99" t="s">
        <v>118</v>
      </c>
      <c r="E99" s="8">
        <v>1</v>
      </c>
      <c r="F99" s="6">
        <v>349.99</v>
      </c>
      <c r="G99" s="6">
        <v>349.99</v>
      </c>
      <c r="H99" t="s">
        <v>15</v>
      </c>
      <c r="I99" t="s">
        <v>16</v>
      </c>
      <c r="J99" t="str">
        <f>TEXT(Table1[[#This Row],[Date]],"mmm")</f>
        <v>Apr</v>
      </c>
      <c r="K99">
        <f>YEAR(Table1[[#This Row],[Date]])</f>
        <v>2024</v>
      </c>
      <c r="L99" s="8">
        <f>MONTH(Table1[[#This Row],[Date]])</f>
        <v>4</v>
      </c>
    </row>
    <row r="100" spans="1:12" x14ac:dyDescent="0.3">
      <c r="A100" s="8">
        <v>10099</v>
      </c>
      <c r="B100" s="1">
        <v>45390</v>
      </c>
      <c r="C100" t="s">
        <v>17</v>
      </c>
      <c r="D100" t="s">
        <v>119</v>
      </c>
      <c r="E100" s="8">
        <v>6</v>
      </c>
      <c r="F100" s="6">
        <v>19.989999999999998</v>
      </c>
      <c r="G100" s="6">
        <v>119.94</v>
      </c>
      <c r="H100" t="s">
        <v>19</v>
      </c>
      <c r="I100" t="s">
        <v>20</v>
      </c>
      <c r="J100" t="str">
        <f>TEXT(Table1[[#This Row],[Date]],"mmm")</f>
        <v>Apr</v>
      </c>
      <c r="K100">
        <f>YEAR(Table1[[#This Row],[Date]])</f>
        <v>2024</v>
      </c>
      <c r="L100" s="8">
        <f>MONTH(Table1[[#This Row],[Date]])</f>
        <v>4</v>
      </c>
    </row>
    <row r="101" spans="1:12" x14ac:dyDescent="0.3">
      <c r="A101" s="8">
        <v>10100</v>
      </c>
      <c r="B101" s="1">
        <v>45391</v>
      </c>
      <c r="C101" t="s">
        <v>21</v>
      </c>
      <c r="D101" t="s">
        <v>120</v>
      </c>
      <c r="E101" s="8">
        <v>2</v>
      </c>
      <c r="F101" s="6">
        <v>12.99</v>
      </c>
      <c r="G101" s="6">
        <v>25.98</v>
      </c>
      <c r="H101" t="s">
        <v>11</v>
      </c>
      <c r="I101" t="s">
        <v>12</v>
      </c>
      <c r="J101" t="str">
        <f>TEXT(Table1[[#This Row],[Date]],"mmm")</f>
        <v>Apr</v>
      </c>
      <c r="K101">
        <f>YEAR(Table1[[#This Row],[Date]])</f>
        <v>2024</v>
      </c>
      <c r="L101" s="8">
        <f>MONTH(Table1[[#This Row],[Date]])</f>
        <v>4</v>
      </c>
    </row>
    <row r="102" spans="1:12" x14ac:dyDescent="0.3">
      <c r="A102" s="8">
        <v>10101</v>
      </c>
      <c r="B102" s="1">
        <v>45392</v>
      </c>
      <c r="C102" t="s">
        <v>23</v>
      </c>
      <c r="D102" t="s">
        <v>121</v>
      </c>
      <c r="E102" s="8">
        <v>1</v>
      </c>
      <c r="F102" s="6">
        <v>82</v>
      </c>
      <c r="G102" s="6">
        <v>82</v>
      </c>
      <c r="H102" t="s">
        <v>15</v>
      </c>
      <c r="I102" t="s">
        <v>16</v>
      </c>
      <c r="J102" t="str">
        <f>TEXT(Table1[[#This Row],[Date]],"mmm")</f>
        <v>Apr</v>
      </c>
      <c r="K102">
        <f>YEAR(Table1[[#This Row],[Date]])</f>
        <v>2024</v>
      </c>
      <c r="L102" s="8">
        <f>MONTH(Table1[[#This Row],[Date]])</f>
        <v>4</v>
      </c>
    </row>
    <row r="103" spans="1:12" x14ac:dyDescent="0.3">
      <c r="A103" s="8">
        <v>10102</v>
      </c>
      <c r="B103" s="1">
        <v>45393</v>
      </c>
      <c r="C103" t="s">
        <v>25</v>
      </c>
      <c r="D103" t="s">
        <v>122</v>
      </c>
      <c r="E103" s="8">
        <v>2</v>
      </c>
      <c r="F103" s="6">
        <v>109.99</v>
      </c>
      <c r="G103" s="6">
        <v>219.98</v>
      </c>
      <c r="H103" t="s">
        <v>19</v>
      </c>
      <c r="I103" t="s">
        <v>12</v>
      </c>
      <c r="J103" t="str">
        <f>TEXT(Table1[[#This Row],[Date]],"mmm")</f>
        <v>Apr</v>
      </c>
      <c r="K103">
        <f>YEAR(Table1[[#This Row],[Date]])</f>
        <v>2024</v>
      </c>
      <c r="L103" s="8">
        <f>MONTH(Table1[[#This Row],[Date]])</f>
        <v>4</v>
      </c>
    </row>
    <row r="104" spans="1:12" x14ac:dyDescent="0.3">
      <c r="A104" s="8">
        <v>10103</v>
      </c>
      <c r="B104" s="1">
        <v>45394</v>
      </c>
      <c r="C104" t="s">
        <v>9</v>
      </c>
      <c r="D104" t="s">
        <v>123</v>
      </c>
      <c r="E104" s="8">
        <v>1</v>
      </c>
      <c r="F104" s="6">
        <v>3899.99</v>
      </c>
      <c r="G104" s="6">
        <v>3899.99</v>
      </c>
      <c r="H104" t="s">
        <v>11</v>
      </c>
      <c r="I104" t="s">
        <v>12</v>
      </c>
      <c r="J104" t="str">
        <f>TEXT(Table1[[#This Row],[Date]],"mmm")</f>
        <v>Apr</v>
      </c>
      <c r="K104">
        <f>YEAR(Table1[[#This Row],[Date]])</f>
        <v>2024</v>
      </c>
      <c r="L104" s="8">
        <f>MONTH(Table1[[#This Row],[Date]])</f>
        <v>4</v>
      </c>
    </row>
    <row r="105" spans="1:12" x14ac:dyDescent="0.3">
      <c r="A105" s="8">
        <v>10104</v>
      </c>
      <c r="B105" s="1">
        <v>45395</v>
      </c>
      <c r="C105" t="s">
        <v>13</v>
      </c>
      <c r="D105" t="s">
        <v>124</v>
      </c>
      <c r="E105" s="8">
        <v>2</v>
      </c>
      <c r="F105" s="6">
        <v>349.99</v>
      </c>
      <c r="G105" s="6">
        <v>699.98</v>
      </c>
      <c r="H105" t="s">
        <v>15</v>
      </c>
      <c r="I105" t="s">
        <v>16</v>
      </c>
      <c r="J105" t="str">
        <f>TEXT(Table1[[#This Row],[Date]],"mmm")</f>
        <v>Apr</v>
      </c>
      <c r="K105">
        <f>YEAR(Table1[[#This Row],[Date]])</f>
        <v>2024</v>
      </c>
      <c r="L105" s="8">
        <f>MONTH(Table1[[#This Row],[Date]])</f>
        <v>4</v>
      </c>
    </row>
    <row r="106" spans="1:12" x14ac:dyDescent="0.3">
      <c r="A106" s="8">
        <v>10105</v>
      </c>
      <c r="B106" s="1">
        <v>45396</v>
      </c>
      <c r="C106" t="s">
        <v>17</v>
      </c>
      <c r="D106" t="s">
        <v>125</v>
      </c>
      <c r="E106" s="8">
        <v>3</v>
      </c>
      <c r="F106" s="6">
        <v>39.99</v>
      </c>
      <c r="G106" s="6">
        <v>119.97</v>
      </c>
      <c r="H106" t="s">
        <v>19</v>
      </c>
      <c r="I106" t="s">
        <v>20</v>
      </c>
      <c r="J106" t="str">
        <f>TEXT(Table1[[#This Row],[Date]],"mmm")</f>
        <v>Apr</v>
      </c>
      <c r="K106">
        <f>YEAR(Table1[[#This Row],[Date]])</f>
        <v>2024</v>
      </c>
      <c r="L106" s="8">
        <f>MONTH(Table1[[#This Row],[Date]])</f>
        <v>4</v>
      </c>
    </row>
    <row r="107" spans="1:12" x14ac:dyDescent="0.3">
      <c r="A107" s="8">
        <v>10106</v>
      </c>
      <c r="B107" s="1">
        <v>45397</v>
      </c>
      <c r="C107" t="s">
        <v>21</v>
      </c>
      <c r="D107" t="s">
        <v>126</v>
      </c>
      <c r="E107" s="8">
        <v>4</v>
      </c>
      <c r="F107" s="6">
        <v>10.99</v>
      </c>
      <c r="G107" s="6">
        <v>43.96</v>
      </c>
      <c r="H107" t="s">
        <v>11</v>
      </c>
      <c r="I107" t="s">
        <v>12</v>
      </c>
      <c r="J107" t="str">
        <f>TEXT(Table1[[#This Row],[Date]],"mmm")</f>
        <v>Apr</v>
      </c>
      <c r="K107">
        <f>YEAR(Table1[[#This Row],[Date]])</f>
        <v>2024</v>
      </c>
      <c r="L107" s="8">
        <f>MONTH(Table1[[#This Row],[Date]])</f>
        <v>4</v>
      </c>
    </row>
    <row r="108" spans="1:12" x14ac:dyDescent="0.3">
      <c r="A108" s="8">
        <v>10107</v>
      </c>
      <c r="B108" s="1">
        <v>45398</v>
      </c>
      <c r="C108" t="s">
        <v>23</v>
      </c>
      <c r="D108" t="s">
        <v>127</v>
      </c>
      <c r="E108" s="8">
        <v>1</v>
      </c>
      <c r="F108" s="6">
        <v>6.5</v>
      </c>
      <c r="G108" s="6">
        <v>6.5</v>
      </c>
      <c r="H108" t="s">
        <v>15</v>
      </c>
      <c r="I108" t="s">
        <v>16</v>
      </c>
      <c r="J108" t="str">
        <f>TEXT(Table1[[#This Row],[Date]],"mmm")</f>
        <v>Apr</v>
      </c>
      <c r="K108">
        <f>YEAR(Table1[[#This Row],[Date]])</f>
        <v>2024</v>
      </c>
      <c r="L108" s="8">
        <f>MONTH(Table1[[#This Row],[Date]])</f>
        <v>4</v>
      </c>
    </row>
    <row r="109" spans="1:12" x14ac:dyDescent="0.3">
      <c r="A109" s="8">
        <v>10108</v>
      </c>
      <c r="B109" s="1">
        <v>45399</v>
      </c>
      <c r="C109" t="s">
        <v>25</v>
      </c>
      <c r="D109" t="s">
        <v>128</v>
      </c>
      <c r="E109" s="8">
        <v>1</v>
      </c>
      <c r="F109" s="6">
        <v>399.99</v>
      </c>
      <c r="G109" s="6">
        <v>399.99</v>
      </c>
      <c r="H109" t="s">
        <v>19</v>
      </c>
      <c r="I109" t="s">
        <v>12</v>
      </c>
      <c r="J109" t="str">
        <f>TEXT(Table1[[#This Row],[Date]],"mmm")</f>
        <v>Apr</v>
      </c>
      <c r="K109">
        <f>YEAR(Table1[[#This Row],[Date]])</f>
        <v>2024</v>
      </c>
      <c r="L109" s="8">
        <f>MONTH(Table1[[#This Row],[Date]])</f>
        <v>4</v>
      </c>
    </row>
    <row r="110" spans="1:12" x14ac:dyDescent="0.3">
      <c r="A110" s="8">
        <v>10109</v>
      </c>
      <c r="B110" s="1">
        <v>45400</v>
      </c>
      <c r="C110" t="s">
        <v>9</v>
      </c>
      <c r="D110" t="s">
        <v>129</v>
      </c>
      <c r="E110" s="8">
        <v>2</v>
      </c>
      <c r="F110" s="6">
        <v>229.99</v>
      </c>
      <c r="G110" s="6">
        <v>459.98</v>
      </c>
      <c r="H110" t="s">
        <v>11</v>
      </c>
      <c r="I110" t="s">
        <v>12</v>
      </c>
      <c r="J110" t="str">
        <f>TEXT(Table1[[#This Row],[Date]],"mmm")</f>
        <v>Apr</v>
      </c>
      <c r="K110">
        <f>YEAR(Table1[[#This Row],[Date]])</f>
        <v>2024</v>
      </c>
      <c r="L110" s="8">
        <f>MONTH(Table1[[#This Row],[Date]])</f>
        <v>4</v>
      </c>
    </row>
    <row r="111" spans="1:12" x14ac:dyDescent="0.3">
      <c r="A111" s="8">
        <v>10110</v>
      </c>
      <c r="B111" s="1">
        <v>45401</v>
      </c>
      <c r="C111" t="s">
        <v>13</v>
      </c>
      <c r="D111" t="s">
        <v>130</v>
      </c>
      <c r="E111" s="8">
        <v>1</v>
      </c>
      <c r="F111" s="6">
        <v>159.99</v>
      </c>
      <c r="G111" s="6">
        <v>159.99</v>
      </c>
      <c r="H111" t="s">
        <v>15</v>
      </c>
      <c r="I111" t="s">
        <v>16</v>
      </c>
      <c r="J111" t="str">
        <f>TEXT(Table1[[#This Row],[Date]],"mmm")</f>
        <v>Apr</v>
      </c>
      <c r="K111">
        <f>YEAR(Table1[[#This Row],[Date]])</f>
        <v>2024</v>
      </c>
      <c r="L111" s="8">
        <f>MONTH(Table1[[#This Row],[Date]])</f>
        <v>4</v>
      </c>
    </row>
    <row r="112" spans="1:12" x14ac:dyDescent="0.3">
      <c r="A112" s="8">
        <v>10111</v>
      </c>
      <c r="B112" s="1">
        <v>45402</v>
      </c>
      <c r="C112" t="s">
        <v>17</v>
      </c>
      <c r="D112" t="s">
        <v>131</v>
      </c>
      <c r="E112" s="8">
        <v>4</v>
      </c>
      <c r="F112" s="6">
        <v>14.99</v>
      </c>
      <c r="G112" s="6">
        <v>59.96</v>
      </c>
      <c r="H112" t="s">
        <v>19</v>
      </c>
      <c r="I112" t="s">
        <v>20</v>
      </c>
      <c r="J112" t="str">
        <f>TEXT(Table1[[#This Row],[Date]],"mmm")</f>
        <v>Apr</v>
      </c>
      <c r="K112">
        <f>YEAR(Table1[[#This Row],[Date]])</f>
        <v>2024</v>
      </c>
      <c r="L112" s="8">
        <f>MONTH(Table1[[#This Row],[Date]])</f>
        <v>4</v>
      </c>
    </row>
    <row r="113" spans="1:12" x14ac:dyDescent="0.3">
      <c r="A113" s="8">
        <v>10112</v>
      </c>
      <c r="B113" s="1">
        <v>45403</v>
      </c>
      <c r="C113" t="s">
        <v>21</v>
      </c>
      <c r="D113" t="s">
        <v>132</v>
      </c>
      <c r="E113" s="8">
        <v>2</v>
      </c>
      <c r="F113" s="6">
        <v>18.989999999999998</v>
      </c>
      <c r="G113" s="6">
        <v>37.979999999999997</v>
      </c>
      <c r="H113" t="s">
        <v>11</v>
      </c>
      <c r="I113" t="s">
        <v>12</v>
      </c>
      <c r="J113" t="str">
        <f>TEXT(Table1[[#This Row],[Date]],"mmm")</f>
        <v>Apr</v>
      </c>
      <c r="K113">
        <f>YEAR(Table1[[#This Row],[Date]])</f>
        <v>2024</v>
      </c>
      <c r="L113" s="8">
        <f>MONTH(Table1[[#This Row],[Date]])</f>
        <v>4</v>
      </c>
    </row>
    <row r="114" spans="1:12" x14ac:dyDescent="0.3">
      <c r="A114" s="8">
        <v>10113</v>
      </c>
      <c r="B114" s="1">
        <v>45404</v>
      </c>
      <c r="C114" t="s">
        <v>23</v>
      </c>
      <c r="D114" t="s">
        <v>133</v>
      </c>
      <c r="E114" s="8">
        <v>1</v>
      </c>
      <c r="F114" s="6">
        <v>15</v>
      </c>
      <c r="G114" s="6">
        <v>15</v>
      </c>
      <c r="H114" t="s">
        <v>15</v>
      </c>
      <c r="I114" t="s">
        <v>16</v>
      </c>
      <c r="J114" t="str">
        <f>TEXT(Table1[[#This Row],[Date]],"mmm")</f>
        <v>Apr</v>
      </c>
      <c r="K114">
        <f>YEAR(Table1[[#This Row],[Date]])</f>
        <v>2024</v>
      </c>
      <c r="L114" s="8">
        <f>MONTH(Table1[[#This Row],[Date]])</f>
        <v>4</v>
      </c>
    </row>
    <row r="115" spans="1:12" x14ac:dyDescent="0.3">
      <c r="A115" s="8">
        <v>10114</v>
      </c>
      <c r="B115" s="1">
        <v>45405</v>
      </c>
      <c r="C115" t="s">
        <v>25</v>
      </c>
      <c r="D115" t="s">
        <v>134</v>
      </c>
      <c r="E115" s="8">
        <v>3</v>
      </c>
      <c r="F115" s="6">
        <v>229.95</v>
      </c>
      <c r="G115" s="6">
        <v>689.85</v>
      </c>
      <c r="H115" t="s">
        <v>19</v>
      </c>
      <c r="I115" t="s">
        <v>12</v>
      </c>
      <c r="J115" t="str">
        <f>TEXT(Table1[[#This Row],[Date]],"mmm")</f>
        <v>Apr</v>
      </c>
      <c r="K115">
        <f>YEAR(Table1[[#This Row],[Date]])</f>
        <v>2024</v>
      </c>
      <c r="L115" s="8">
        <f>MONTH(Table1[[#This Row],[Date]])</f>
        <v>4</v>
      </c>
    </row>
    <row r="116" spans="1:12" x14ac:dyDescent="0.3">
      <c r="A116" s="8">
        <v>10115</v>
      </c>
      <c r="B116" s="1">
        <v>45406</v>
      </c>
      <c r="C116" t="s">
        <v>9</v>
      </c>
      <c r="D116" t="s">
        <v>135</v>
      </c>
      <c r="E116" s="8">
        <v>1</v>
      </c>
      <c r="F116" s="6">
        <v>249.99</v>
      </c>
      <c r="G116" s="6">
        <v>249.99</v>
      </c>
      <c r="H116" t="s">
        <v>11</v>
      </c>
      <c r="I116" t="s">
        <v>12</v>
      </c>
      <c r="J116" t="str">
        <f>TEXT(Table1[[#This Row],[Date]],"mmm")</f>
        <v>Apr</v>
      </c>
      <c r="K116">
        <f>YEAR(Table1[[#This Row],[Date]])</f>
        <v>2024</v>
      </c>
      <c r="L116" s="8">
        <f>MONTH(Table1[[#This Row],[Date]])</f>
        <v>4</v>
      </c>
    </row>
    <row r="117" spans="1:12" x14ac:dyDescent="0.3">
      <c r="A117" s="8">
        <v>10116</v>
      </c>
      <c r="B117" s="1">
        <v>45407</v>
      </c>
      <c r="C117" t="s">
        <v>13</v>
      </c>
      <c r="D117" t="s">
        <v>136</v>
      </c>
      <c r="E117" s="8">
        <v>2</v>
      </c>
      <c r="F117" s="6">
        <v>299.95</v>
      </c>
      <c r="G117" s="6">
        <v>599.9</v>
      </c>
      <c r="H117" t="s">
        <v>15</v>
      </c>
      <c r="I117" t="s">
        <v>16</v>
      </c>
      <c r="J117" t="str">
        <f>TEXT(Table1[[#This Row],[Date]],"mmm")</f>
        <v>Apr</v>
      </c>
      <c r="K117">
        <f>YEAR(Table1[[#This Row],[Date]])</f>
        <v>2024</v>
      </c>
      <c r="L117" s="8">
        <f>MONTH(Table1[[#This Row],[Date]])</f>
        <v>4</v>
      </c>
    </row>
    <row r="118" spans="1:12" x14ac:dyDescent="0.3">
      <c r="A118" s="8">
        <v>10117</v>
      </c>
      <c r="B118" s="1">
        <v>45408</v>
      </c>
      <c r="C118" t="s">
        <v>17</v>
      </c>
      <c r="D118" t="s">
        <v>137</v>
      </c>
      <c r="E118" s="8">
        <v>3</v>
      </c>
      <c r="F118" s="6">
        <v>49.99</v>
      </c>
      <c r="G118" s="6">
        <v>149.97</v>
      </c>
      <c r="H118" t="s">
        <v>19</v>
      </c>
      <c r="I118" t="s">
        <v>20</v>
      </c>
      <c r="J118" t="str">
        <f>TEXT(Table1[[#This Row],[Date]],"mmm")</f>
        <v>Apr</v>
      </c>
      <c r="K118">
        <f>YEAR(Table1[[#This Row],[Date]])</f>
        <v>2024</v>
      </c>
      <c r="L118" s="8">
        <f>MONTH(Table1[[#This Row],[Date]])</f>
        <v>4</v>
      </c>
    </row>
    <row r="119" spans="1:12" x14ac:dyDescent="0.3">
      <c r="A119" s="8">
        <v>10118</v>
      </c>
      <c r="B119" s="1">
        <v>45409</v>
      </c>
      <c r="C119" t="s">
        <v>21</v>
      </c>
      <c r="D119" t="s">
        <v>138</v>
      </c>
      <c r="E119" s="8">
        <v>4</v>
      </c>
      <c r="F119" s="6">
        <v>16.989999999999998</v>
      </c>
      <c r="G119" s="6">
        <v>67.959999999999994</v>
      </c>
      <c r="H119" t="s">
        <v>11</v>
      </c>
      <c r="I119" t="s">
        <v>12</v>
      </c>
      <c r="J119" t="str">
        <f>TEXT(Table1[[#This Row],[Date]],"mmm")</f>
        <v>Apr</v>
      </c>
      <c r="K119">
        <f>YEAR(Table1[[#This Row],[Date]])</f>
        <v>2024</v>
      </c>
      <c r="L119" s="8">
        <f>MONTH(Table1[[#This Row],[Date]])</f>
        <v>4</v>
      </c>
    </row>
    <row r="120" spans="1:12" x14ac:dyDescent="0.3">
      <c r="A120" s="8">
        <v>10119</v>
      </c>
      <c r="B120" s="1">
        <v>45410</v>
      </c>
      <c r="C120" t="s">
        <v>23</v>
      </c>
      <c r="D120" t="s">
        <v>139</v>
      </c>
      <c r="E120" s="8">
        <v>2</v>
      </c>
      <c r="F120" s="6">
        <v>14.99</v>
      </c>
      <c r="G120" s="6">
        <v>29.98</v>
      </c>
      <c r="H120" t="s">
        <v>15</v>
      </c>
      <c r="I120" t="s">
        <v>16</v>
      </c>
      <c r="J120" t="str">
        <f>TEXT(Table1[[#This Row],[Date]],"mmm")</f>
        <v>Apr</v>
      </c>
      <c r="K120">
        <f>YEAR(Table1[[#This Row],[Date]])</f>
        <v>2024</v>
      </c>
      <c r="L120" s="8">
        <f>MONTH(Table1[[#This Row],[Date]])</f>
        <v>4</v>
      </c>
    </row>
    <row r="121" spans="1:12" x14ac:dyDescent="0.3">
      <c r="A121" s="8">
        <v>10120</v>
      </c>
      <c r="B121" s="1">
        <v>45411</v>
      </c>
      <c r="C121" t="s">
        <v>25</v>
      </c>
      <c r="D121" t="s">
        <v>140</v>
      </c>
      <c r="E121" s="8">
        <v>1</v>
      </c>
      <c r="F121" s="6">
        <v>249.99</v>
      </c>
      <c r="G121" s="6">
        <v>249.99</v>
      </c>
      <c r="H121" t="s">
        <v>19</v>
      </c>
      <c r="I121" t="s">
        <v>12</v>
      </c>
      <c r="J121" t="str">
        <f>TEXT(Table1[[#This Row],[Date]],"mmm")</f>
        <v>Apr</v>
      </c>
      <c r="K121">
        <f>YEAR(Table1[[#This Row],[Date]])</f>
        <v>2024</v>
      </c>
      <c r="L121" s="8">
        <f>MONTH(Table1[[#This Row],[Date]])</f>
        <v>4</v>
      </c>
    </row>
    <row r="122" spans="1:12" x14ac:dyDescent="0.3">
      <c r="A122" s="8">
        <v>10121</v>
      </c>
      <c r="B122" s="1">
        <v>45412</v>
      </c>
      <c r="C122" t="s">
        <v>9</v>
      </c>
      <c r="D122" t="s">
        <v>141</v>
      </c>
      <c r="E122" s="8">
        <v>2</v>
      </c>
      <c r="F122" s="6">
        <v>599.99</v>
      </c>
      <c r="G122" s="6">
        <v>1199.98</v>
      </c>
      <c r="H122" t="s">
        <v>11</v>
      </c>
      <c r="I122" t="s">
        <v>12</v>
      </c>
      <c r="J122" t="str">
        <f>TEXT(Table1[[#This Row],[Date]],"mmm")</f>
        <v>Apr</v>
      </c>
      <c r="K122">
        <f>YEAR(Table1[[#This Row],[Date]])</f>
        <v>2024</v>
      </c>
      <c r="L122" s="8">
        <f>MONTH(Table1[[#This Row],[Date]])</f>
        <v>4</v>
      </c>
    </row>
    <row r="123" spans="1:12" x14ac:dyDescent="0.3">
      <c r="A123" s="8">
        <v>10122</v>
      </c>
      <c r="B123" s="1">
        <v>45413</v>
      </c>
      <c r="C123" t="s">
        <v>13</v>
      </c>
      <c r="D123" t="s">
        <v>142</v>
      </c>
      <c r="E123" s="8">
        <v>1</v>
      </c>
      <c r="F123" s="6">
        <v>89.99</v>
      </c>
      <c r="G123" s="6">
        <v>89.99</v>
      </c>
      <c r="H123" t="s">
        <v>15</v>
      </c>
      <c r="I123" t="s">
        <v>16</v>
      </c>
      <c r="J123" t="str">
        <f>TEXT(Table1[[#This Row],[Date]],"mmm")</f>
        <v>May</v>
      </c>
      <c r="K123">
        <f>YEAR(Table1[[#This Row],[Date]])</f>
        <v>2024</v>
      </c>
      <c r="L123" s="8">
        <f>MONTH(Table1[[#This Row],[Date]])</f>
        <v>5</v>
      </c>
    </row>
    <row r="124" spans="1:12" x14ac:dyDescent="0.3">
      <c r="A124" s="8">
        <v>10123</v>
      </c>
      <c r="B124" s="1">
        <v>45414</v>
      </c>
      <c r="C124" t="s">
        <v>17</v>
      </c>
      <c r="D124" t="s">
        <v>143</v>
      </c>
      <c r="E124" s="8">
        <v>5</v>
      </c>
      <c r="F124" s="6">
        <v>12.99</v>
      </c>
      <c r="G124" s="6">
        <v>64.95</v>
      </c>
      <c r="H124" t="s">
        <v>19</v>
      </c>
      <c r="I124" t="s">
        <v>20</v>
      </c>
      <c r="J124" t="str">
        <f>TEXT(Table1[[#This Row],[Date]],"mmm")</f>
        <v>May</v>
      </c>
      <c r="K124">
        <f>YEAR(Table1[[#This Row],[Date]])</f>
        <v>2024</v>
      </c>
      <c r="L124" s="8">
        <f>MONTH(Table1[[#This Row],[Date]])</f>
        <v>5</v>
      </c>
    </row>
    <row r="125" spans="1:12" x14ac:dyDescent="0.3">
      <c r="A125" s="8">
        <v>10124</v>
      </c>
      <c r="B125" s="1">
        <v>45415</v>
      </c>
      <c r="C125" t="s">
        <v>21</v>
      </c>
      <c r="D125" t="s">
        <v>144</v>
      </c>
      <c r="E125" s="8">
        <v>3</v>
      </c>
      <c r="F125" s="6">
        <v>14.99</v>
      </c>
      <c r="G125" s="6">
        <v>44.97</v>
      </c>
      <c r="H125" t="s">
        <v>11</v>
      </c>
      <c r="I125" t="s">
        <v>12</v>
      </c>
      <c r="J125" t="str">
        <f>TEXT(Table1[[#This Row],[Date]],"mmm")</f>
        <v>May</v>
      </c>
      <c r="K125">
        <f>YEAR(Table1[[#This Row],[Date]])</f>
        <v>2024</v>
      </c>
      <c r="L125" s="8">
        <f>MONTH(Table1[[#This Row],[Date]])</f>
        <v>5</v>
      </c>
    </row>
    <row r="126" spans="1:12" x14ac:dyDescent="0.3">
      <c r="A126" s="8">
        <v>10125</v>
      </c>
      <c r="B126" s="1">
        <v>45416</v>
      </c>
      <c r="C126" t="s">
        <v>23</v>
      </c>
      <c r="D126" t="s">
        <v>145</v>
      </c>
      <c r="E126" s="8">
        <v>1</v>
      </c>
      <c r="F126" s="6">
        <v>30</v>
      </c>
      <c r="G126" s="6">
        <v>30</v>
      </c>
      <c r="H126" t="s">
        <v>15</v>
      </c>
      <c r="I126" t="s">
        <v>16</v>
      </c>
      <c r="J126" t="str">
        <f>TEXT(Table1[[#This Row],[Date]],"mmm")</f>
        <v>May</v>
      </c>
      <c r="K126">
        <f>YEAR(Table1[[#This Row],[Date]])</f>
        <v>2024</v>
      </c>
      <c r="L126" s="8">
        <f>MONTH(Table1[[#This Row],[Date]])</f>
        <v>5</v>
      </c>
    </row>
    <row r="127" spans="1:12" x14ac:dyDescent="0.3">
      <c r="A127" s="8">
        <v>10126</v>
      </c>
      <c r="B127" s="1">
        <v>45417</v>
      </c>
      <c r="C127" t="s">
        <v>25</v>
      </c>
      <c r="D127" t="s">
        <v>146</v>
      </c>
      <c r="E127" s="8">
        <v>1</v>
      </c>
      <c r="F127" s="6">
        <v>199.99</v>
      </c>
      <c r="G127" s="6">
        <v>199.99</v>
      </c>
      <c r="H127" t="s">
        <v>19</v>
      </c>
      <c r="I127" t="s">
        <v>12</v>
      </c>
      <c r="J127" t="str">
        <f>TEXT(Table1[[#This Row],[Date]],"mmm")</f>
        <v>May</v>
      </c>
      <c r="K127">
        <f>YEAR(Table1[[#This Row],[Date]])</f>
        <v>2024</v>
      </c>
      <c r="L127" s="8">
        <f>MONTH(Table1[[#This Row],[Date]])</f>
        <v>5</v>
      </c>
    </row>
    <row r="128" spans="1:12" x14ac:dyDescent="0.3">
      <c r="A128" s="8">
        <v>10127</v>
      </c>
      <c r="B128" s="1">
        <v>45418</v>
      </c>
      <c r="C128" t="s">
        <v>9</v>
      </c>
      <c r="D128" t="s">
        <v>147</v>
      </c>
      <c r="E128" s="8">
        <v>1</v>
      </c>
      <c r="F128" s="6">
        <v>499.99</v>
      </c>
      <c r="G128" s="6">
        <v>499.99</v>
      </c>
      <c r="H128" t="s">
        <v>11</v>
      </c>
      <c r="I128" t="s">
        <v>12</v>
      </c>
      <c r="J128" t="str">
        <f>TEXT(Table1[[#This Row],[Date]],"mmm")</f>
        <v>May</v>
      </c>
      <c r="K128">
        <f>YEAR(Table1[[#This Row],[Date]])</f>
        <v>2024</v>
      </c>
      <c r="L128" s="8">
        <f>MONTH(Table1[[#This Row],[Date]])</f>
        <v>5</v>
      </c>
    </row>
    <row r="129" spans="1:12" x14ac:dyDescent="0.3">
      <c r="A129" s="8">
        <v>10128</v>
      </c>
      <c r="B129" s="1">
        <v>45419</v>
      </c>
      <c r="C129" t="s">
        <v>13</v>
      </c>
      <c r="D129" t="s">
        <v>37</v>
      </c>
      <c r="E129" s="8">
        <v>2</v>
      </c>
      <c r="F129" s="6">
        <v>399.99</v>
      </c>
      <c r="G129" s="6">
        <v>799.98</v>
      </c>
      <c r="H129" t="s">
        <v>15</v>
      </c>
      <c r="I129" t="s">
        <v>16</v>
      </c>
      <c r="J129" t="str">
        <f>TEXT(Table1[[#This Row],[Date]],"mmm")</f>
        <v>May</v>
      </c>
      <c r="K129">
        <f>YEAR(Table1[[#This Row],[Date]])</f>
        <v>2024</v>
      </c>
      <c r="L129" s="8">
        <f>MONTH(Table1[[#This Row],[Date]])</f>
        <v>5</v>
      </c>
    </row>
    <row r="130" spans="1:12" x14ac:dyDescent="0.3">
      <c r="A130" s="8">
        <v>10129</v>
      </c>
      <c r="B130" s="1">
        <v>45420</v>
      </c>
      <c r="C130" t="s">
        <v>17</v>
      </c>
      <c r="D130" t="s">
        <v>148</v>
      </c>
      <c r="E130" s="8">
        <v>3</v>
      </c>
      <c r="F130" s="6">
        <v>98</v>
      </c>
      <c r="G130" s="6">
        <v>294</v>
      </c>
      <c r="H130" t="s">
        <v>19</v>
      </c>
      <c r="I130" t="s">
        <v>20</v>
      </c>
      <c r="J130" t="str">
        <f>TEXT(Table1[[#This Row],[Date]],"mmm")</f>
        <v>May</v>
      </c>
      <c r="K130">
        <f>YEAR(Table1[[#This Row],[Date]])</f>
        <v>2024</v>
      </c>
      <c r="L130" s="8">
        <f>MONTH(Table1[[#This Row],[Date]])</f>
        <v>5</v>
      </c>
    </row>
    <row r="131" spans="1:12" x14ac:dyDescent="0.3">
      <c r="A131" s="8">
        <v>10130</v>
      </c>
      <c r="B131" s="1">
        <v>45421</v>
      </c>
      <c r="C131" t="s">
        <v>21</v>
      </c>
      <c r="D131" t="s">
        <v>149</v>
      </c>
      <c r="E131" s="8">
        <v>2</v>
      </c>
      <c r="F131" s="6">
        <v>8.99</v>
      </c>
      <c r="G131" s="6">
        <v>17.98</v>
      </c>
      <c r="H131" t="s">
        <v>11</v>
      </c>
      <c r="I131" t="s">
        <v>12</v>
      </c>
      <c r="J131" t="str">
        <f>TEXT(Table1[[#This Row],[Date]],"mmm")</f>
        <v>May</v>
      </c>
      <c r="K131">
        <f>YEAR(Table1[[#This Row],[Date]])</f>
        <v>2024</v>
      </c>
      <c r="L131" s="8">
        <f>MONTH(Table1[[#This Row],[Date]])</f>
        <v>5</v>
      </c>
    </row>
    <row r="132" spans="1:12" x14ac:dyDescent="0.3">
      <c r="A132" s="8">
        <v>10131</v>
      </c>
      <c r="B132" s="1">
        <v>45422</v>
      </c>
      <c r="C132" t="s">
        <v>23</v>
      </c>
      <c r="D132" t="s">
        <v>150</v>
      </c>
      <c r="E132" s="8">
        <v>1</v>
      </c>
      <c r="F132" s="6">
        <v>36</v>
      </c>
      <c r="G132" s="6">
        <v>36</v>
      </c>
      <c r="H132" t="s">
        <v>15</v>
      </c>
      <c r="I132" t="s">
        <v>16</v>
      </c>
      <c r="J132" t="str">
        <f>TEXT(Table1[[#This Row],[Date]],"mmm")</f>
        <v>May</v>
      </c>
      <c r="K132">
        <f>YEAR(Table1[[#This Row],[Date]])</f>
        <v>2024</v>
      </c>
      <c r="L132" s="8">
        <f>MONTH(Table1[[#This Row],[Date]])</f>
        <v>5</v>
      </c>
    </row>
    <row r="133" spans="1:12" x14ac:dyDescent="0.3">
      <c r="A133" s="8">
        <v>10132</v>
      </c>
      <c r="B133" s="1">
        <v>45423</v>
      </c>
      <c r="C133" t="s">
        <v>25</v>
      </c>
      <c r="D133" t="s">
        <v>151</v>
      </c>
      <c r="E133" s="8">
        <v>4</v>
      </c>
      <c r="F133" s="6">
        <v>39.950000000000003</v>
      </c>
      <c r="G133" s="6">
        <v>159.80000000000001</v>
      </c>
      <c r="H133" t="s">
        <v>19</v>
      </c>
      <c r="I133" t="s">
        <v>12</v>
      </c>
      <c r="J133" t="str">
        <f>TEXT(Table1[[#This Row],[Date]],"mmm")</f>
        <v>May</v>
      </c>
      <c r="K133">
        <f>YEAR(Table1[[#This Row],[Date]])</f>
        <v>2024</v>
      </c>
      <c r="L133" s="8">
        <f>MONTH(Table1[[#This Row],[Date]])</f>
        <v>5</v>
      </c>
    </row>
    <row r="134" spans="1:12" x14ac:dyDescent="0.3">
      <c r="A134" s="8">
        <v>10133</v>
      </c>
      <c r="B134" s="1">
        <v>45424</v>
      </c>
      <c r="C134" t="s">
        <v>9</v>
      </c>
      <c r="D134" t="s">
        <v>152</v>
      </c>
      <c r="E134" s="8">
        <v>1</v>
      </c>
      <c r="F134" s="6">
        <v>1299.99</v>
      </c>
      <c r="G134" s="6">
        <v>1299.99</v>
      </c>
      <c r="H134" t="s">
        <v>11</v>
      </c>
      <c r="I134" t="s">
        <v>12</v>
      </c>
      <c r="J134" t="str">
        <f>TEXT(Table1[[#This Row],[Date]],"mmm")</f>
        <v>May</v>
      </c>
      <c r="K134">
        <f>YEAR(Table1[[#This Row],[Date]])</f>
        <v>2024</v>
      </c>
      <c r="L134" s="8">
        <f>MONTH(Table1[[#This Row],[Date]])</f>
        <v>5</v>
      </c>
    </row>
    <row r="135" spans="1:12" x14ac:dyDescent="0.3">
      <c r="A135" s="8">
        <v>10134</v>
      </c>
      <c r="B135" s="1">
        <v>45425</v>
      </c>
      <c r="C135" t="s">
        <v>13</v>
      </c>
      <c r="D135" t="s">
        <v>153</v>
      </c>
      <c r="E135" s="8">
        <v>2</v>
      </c>
      <c r="F135" s="6">
        <v>79.989999999999995</v>
      </c>
      <c r="G135" s="6">
        <v>159.97999999999999</v>
      </c>
      <c r="H135" t="s">
        <v>15</v>
      </c>
      <c r="I135" t="s">
        <v>16</v>
      </c>
      <c r="J135" t="str">
        <f>TEXT(Table1[[#This Row],[Date]],"mmm")</f>
        <v>May</v>
      </c>
      <c r="K135">
        <f>YEAR(Table1[[#This Row],[Date]])</f>
        <v>2024</v>
      </c>
      <c r="L135" s="8">
        <f>MONTH(Table1[[#This Row],[Date]])</f>
        <v>5</v>
      </c>
    </row>
    <row r="136" spans="1:12" x14ac:dyDescent="0.3">
      <c r="A136" s="8">
        <v>10135</v>
      </c>
      <c r="B136" s="1">
        <v>45426</v>
      </c>
      <c r="C136" t="s">
        <v>17</v>
      </c>
      <c r="D136" t="s">
        <v>154</v>
      </c>
      <c r="E136" s="8">
        <v>4</v>
      </c>
      <c r="F136" s="6">
        <v>34.99</v>
      </c>
      <c r="G136" s="6">
        <v>139.96</v>
      </c>
      <c r="H136" t="s">
        <v>19</v>
      </c>
      <c r="I136" t="s">
        <v>20</v>
      </c>
      <c r="J136" t="str">
        <f>TEXT(Table1[[#This Row],[Date]],"mmm")</f>
        <v>May</v>
      </c>
      <c r="K136">
        <f>YEAR(Table1[[#This Row],[Date]])</f>
        <v>2024</v>
      </c>
      <c r="L136" s="8">
        <f>MONTH(Table1[[#This Row],[Date]])</f>
        <v>5</v>
      </c>
    </row>
    <row r="137" spans="1:12" x14ac:dyDescent="0.3">
      <c r="A137" s="8">
        <v>10136</v>
      </c>
      <c r="B137" s="1">
        <v>45427</v>
      </c>
      <c r="C137" t="s">
        <v>21</v>
      </c>
      <c r="D137" t="s">
        <v>155</v>
      </c>
      <c r="E137" s="8">
        <v>3</v>
      </c>
      <c r="F137" s="6">
        <v>9.99</v>
      </c>
      <c r="G137" s="6">
        <v>29.97</v>
      </c>
      <c r="H137" t="s">
        <v>11</v>
      </c>
      <c r="I137" t="s">
        <v>12</v>
      </c>
      <c r="J137" t="str">
        <f>TEXT(Table1[[#This Row],[Date]],"mmm")</f>
        <v>May</v>
      </c>
      <c r="K137">
        <f>YEAR(Table1[[#This Row],[Date]])</f>
        <v>2024</v>
      </c>
      <c r="L137" s="8">
        <f>MONTH(Table1[[#This Row],[Date]])</f>
        <v>5</v>
      </c>
    </row>
    <row r="138" spans="1:12" x14ac:dyDescent="0.3">
      <c r="A138" s="8">
        <v>10137</v>
      </c>
      <c r="B138" s="1">
        <v>45428</v>
      </c>
      <c r="C138" t="s">
        <v>23</v>
      </c>
      <c r="D138" t="s">
        <v>156</v>
      </c>
      <c r="E138" s="8">
        <v>1</v>
      </c>
      <c r="F138" s="6">
        <v>6.8</v>
      </c>
      <c r="G138" s="6">
        <v>6.8</v>
      </c>
      <c r="H138" t="s">
        <v>15</v>
      </c>
      <c r="I138" t="s">
        <v>16</v>
      </c>
      <c r="J138" t="str">
        <f>TEXT(Table1[[#This Row],[Date]],"mmm")</f>
        <v>May</v>
      </c>
      <c r="K138">
        <f>YEAR(Table1[[#This Row],[Date]])</f>
        <v>2024</v>
      </c>
      <c r="L138" s="8">
        <f>MONTH(Table1[[#This Row],[Date]])</f>
        <v>5</v>
      </c>
    </row>
    <row r="139" spans="1:12" x14ac:dyDescent="0.3">
      <c r="A139" s="8">
        <v>10138</v>
      </c>
      <c r="B139" s="1">
        <v>45429</v>
      </c>
      <c r="C139" t="s">
        <v>25</v>
      </c>
      <c r="D139" t="s">
        <v>157</v>
      </c>
      <c r="E139" s="8">
        <v>2</v>
      </c>
      <c r="F139" s="6">
        <v>99.95</v>
      </c>
      <c r="G139" s="6">
        <v>199.9</v>
      </c>
      <c r="H139" t="s">
        <v>19</v>
      </c>
      <c r="I139" t="s">
        <v>12</v>
      </c>
      <c r="J139" t="str">
        <f>TEXT(Table1[[#This Row],[Date]],"mmm")</f>
        <v>May</v>
      </c>
      <c r="K139">
        <f>YEAR(Table1[[#This Row],[Date]])</f>
        <v>2024</v>
      </c>
      <c r="L139" s="8">
        <f>MONTH(Table1[[#This Row],[Date]])</f>
        <v>5</v>
      </c>
    </row>
    <row r="140" spans="1:12" x14ac:dyDescent="0.3">
      <c r="A140" s="8">
        <v>10139</v>
      </c>
      <c r="B140" s="1">
        <v>45430</v>
      </c>
      <c r="C140" t="s">
        <v>9</v>
      </c>
      <c r="D140" t="s">
        <v>158</v>
      </c>
      <c r="E140" s="8">
        <v>1</v>
      </c>
      <c r="F140" s="6">
        <v>1499.99</v>
      </c>
      <c r="G140" s="6">
        <v>1499.99</v>
      </c>
      <c r="H140" t="s">
        <v>11</v>
      </c>
      <c r="I140" t="s">
        <v>12</v>
      </c>
      <c r="J140" t="str">
        <f>TEXT(Table1[[#This Row],[Date]],"mmm")</f>
        <v>May</v>
      </c>
      <c r="K140">
        <f>YEAR(Table1[[#This Row],[Date]])</f>
        <v>2024</v>
      </c>
      <c r="L140" s="8">
        <f>MONTH(Table1[[#This Row],[Date]])</f>
        <v>5</v>
      </c>
    </row>
    <row r="141" spans="1:12" x14ac:dyDescent="0.3">
      <c r="A141" s="8">
        <v>10140</v>
      </c>
      <c r="B141" s="1">
        <v>45431</v>
      </c>
      <c r="C141" t="s">
        <v>13</v>
      </c>
      <c r="D141" t="s">
        <v>159</v>
      </c>
      <c r="E141" s="8">
        <v>1</v>
      </c>
      <c r="F141" s="6">
        <v>139.99</v>
      </c>
      <c r="G141" s="6">
        <v>139.99</v>
      </c>
      <c r="H141" t="s">
        <v>15</v>
      </c>
      <c r="I141" t="s">
        <v>16</v>
      </c>
      <c r="J141" t="str">
        <f>TEXT(Table1[[#This Row],[Date]],"mmm")</f>
        <v>May</v>
      </c>
      <c r="K141">
        <f>YEAR(Table1[[#This Row],[Date]])</f>
        <v>2024</v>
      </c>
      <c r="L141" s="8">
        <f>MONTH(Table1[[#This Row],[Date]])</f>
        <v>5</v>
      </c>
    </row>
    <row r="142" spans="1:12" x14ac:dyDescent="0.3">
      <c r="A142" s="8">
        <v>10141</v>
      </c>
      <c r="B142" s="1">
        <v>45432</v>
      </c>
      <c r="C142" t="s">
        <v>17</v>
      </c>
      <c r="D142" t="s">
        <v>160</v>
      </c>
      <c r="E142" s="8">
        <v>3</v>
      </c>
      <c r="F142" s="6">
        <v>44.99</v>
      </c>
      <c r="G142" s="6">
        <v>134.97</v>
      </c>
      <c r="H142" t="s">
        <v>19</v>
      </c>
      <c r="I142" t="s">
        <v>20</v>
      </c>
      <c r="J142" t="str">
        <f>TEXT(Table1[[#This Row],[Date]],"mmm")</f>
        <v>May</v>
      </c>
      <c r="K142">
        <f>YEAR(Table1[[#This Row],[Date]])</f>
        <v>2024</v>
      </c>
      <c r="L142" s="8">
        <f>MONTH(Table1[[#This Row],[Date]])</f>
        <v>5</v>
      </c>
    </row>
    <row r="143" spans="1:12" x14ac:dyDescent="0.3">
      <c r="A143" s="8">
        <v>10142</v>
      </c>
      <c r="B143" s="1">
        <v>45433</v>
      </c>
      <c r="C143" t="s">
        <v>21</v>
      </c>
      <c r="D143" t="s">
        <v>161</v>
      </c>
      <c r="E143" s="8">
        <v>2</v>
      </c>
      <c r="F143" s="6">
        <v>11.99</v>
      </c>
      <c r="G143" s="6">
        <v>23.98</v>
      </c>
      <c r="H143" t="s">
        <v>11</v>
      </c>
      <c r="I143" t="s">
        <v>12</v>
      </c>
      <c r="J143" t="str">
        <f>TEXT(Table1[[#This Row],[Date]],"mmm")</f>
        <v>May</v>
      </c>
      <c r="K143">
        <f>YEAR(Table1[[#This Row],[Date]])</f>
        <v>2024</v>
      </c>
      <c r="L143" s="8">
        <f>MONTH(Table1[[#This Row],[Date]])</f>
        <v>5</v>
      </c>
    </row>
    <row r="144" spans="1:12" x14ac:dyDescent="0.3">
      <c r="A144" s="8">
        <v>10143</v>
      </c>
      <c r="B144" s="1">
        <v>45434</v>
      </c>
      <c r="C144" t="s">
        <v>23</v>
      </c>
      <c r="D144" t="s">
        <v>162</v>
      </c>
      <c r="E144" s="8">
        <v>1</v>
      </c>
      <c r="F144" s="6">
        <v>29.5</v>
      </c>
      <c r="G144" s="6">
        <v>29.5</v>
      </c>
      <c r="H144" t="s">
        <v>15</v>
      </c>
      <c r="I144" t="s">
        <v>16</v>
      </c>
      <c r="J144" t="str">
        <f>TEXT(Table1[[#This Row],[Date]],"mmm")</f>
        <v>May</v>
      </c>
      <c r="K144">
        <f>YEAR(Table1[[#This Row],[Date]])</f>
        <v>2024</v>
      </c>
      <c r="L144" s="8">
        <f>MONTH(Table1[[#This Row],[Date]])</f>
        <v>5</v>
      </c>
    </row>
    <row r="145" spans="1:12" x14ac:dyDescent="0.3">
      <c r="A145" s="8">
        <v>10144</v>
      </c>
      <c r="B145" s="1">
        <v>45435</v>
      </c>
      <c r="C145" t="s">
        <v>25</v>
      </c>
      <c r="D145" t="s">
        <v>163</v>
      </c>
      <c r="E145" s="8">
        <v>1</v>
      </c>
      <c r="F145" s="6">
        <v>299.99</v>
      </c>
      <c r="G145" s="6">
        <v>299.99</v>
      </c>
      <c r="H145" t="s">
        <v>19</v>
      </c>
      <c r="I145" t="s">
        <v>12</v>
      </c>
      <c r="J145" t="str">
        <f>TEXT(Table1[[#This Row],[Date]],"mmm")</f>
        <v>May</v>
      </c>
      <c r="K145">
        <f>YEAR(Table1[[#This Row],[Date]])</f>
        <v>2024</v>
      </c>
      <c r="L145" s="8">
        <f>MONTH(Table1[[#This Row],[Date]])</f>
        <v>5</v>
      </c>
    </row>
    <row r="146" spans="1:12" x14ac:dyDescent="0.3">
      <c r="A146" s="8">
        <v>10145</v>
      </c>
      <c r="B146" s="1">
        <v>45436</v>
      </c>
      <c r="C146" t="s">
        <v>9</v>
      </c>
      <c r="D146" t="s">
        <v>164</v>
      </c>
      <c r="E146" s="8">
        <v>1</v>
      </c>
      <c r="F146" s="6">
        <v>549</v>
      </c>
      <c r="G146" s="6">
        <v>549</v>
      </c>
      <c r="H146" t="s">
        <v>11</v>
      </c>
      <c r="I146" t="s">
        <v>12</v>
      </c>
      <c r="J146" t="str">
        <f>TEXT(Table1[[#This Row],[Date]],"mmm")</f>
        <v>May</v>
      </c>
      <c r="K146">
        <f>YEAR(Table1[[#This Row],[Date]])</f>
        <v>2024</v>
      </c>
      <c r="L146" s="8">
        <f>MONTH(Table1[[#This Row],[Date]])</f>
        <v>5</v>
      </c>
    </row>
    <row r="147" spans="1:12" x14ac:dyDescent="0.3">
      <c r="A147" s="8">
        <v>10146</v>
      </c>
      <c r="B147" s="1">
        <v>45437</v>
      </c>
      <c r="C147" t="s">
        <v>13</v>
      </c>
      <c r="D147" t="s">
        <v>165</v>
      </c>
      <c r="E147" s="8">
        <v>2</v>
      </c>
      <c r="F147" s="6">
        <v>199.95</v>
      </c>
      <c r="G147" s="6">
        <v>399.9</v>
      </c>
      <c r="H147" t="s">
        <v>15</v>
      </c>
      <c r="I147" t="s">
        <v>16</v>
      </c>
      <c r="J147" t="str">
        <f>TEXT(Table1[[#This Row],[Date]],"mmm")</f>
        <v>May</v>
      </c>
      <c r="K147">
        <f>YEAR(Table1[[#This Row],[Date]])</f>
        <v>2024</v>
      </c>
      <c r="L147" s="8">
        <f>MONTH(Table1[[#This Row],[Date]])</f>
        <v>5</v>
      </c>
    </row>
    <row r="148" spans="1:12" x14ac:dyDescent="0.3">
      <c r="A148" s="8">
        <v>10147</v>
      </c>
      <c r="B148" s="1">
        <v>45438</v>
      </c>
      <c r="C148" t="s">
        <v>17</v>
      </c>
      <c r="D148" t="s">
        <v>166</v>
      </c>
      <c r="E148" s="8">
        <v>2</v>
      </c>
      <c r="F148" s="6">
        <v>98</v>
      </c>
      <c r="G148" s="6">
        <v>196</v>
      </c>
      <c r="H148" t="s">
        <v>19</v>
      </c>
      <c r="I148" t="s">
        <v>20</v>
      </c>
      <c r="J148" t="str">
        <f>TEXT(Table1[[#This Row],[Date]],"mmm")</f>
        <v>May</v>
      </c>
      <c r="K148">
        <f>YEAR(Table1[[#This Row],[Date]])</f>
        <v>2024</v>
      </c>
      <c r="L148" s="8">
        <f>MONTH(Table1[[#This Row],[Date]])</f>
        <v>5</v>
      </c>
    </row>
    <row r="149" spans="1:12" x14ac:dyDescent="0.3">
      <c r="A149" s="8">
        <v>10148</v>
      </c>
      <c r="B149" s="1">
        <v>45439</v>
      </c>
      <c r="C149" t="s">
        <v>21</v>
      </c>
      <c r="D149" t="s">
        <v>167</v>
      </c>
      <c r="E149" s="8">
        <v>3</v>
      </c>
      <c r="F149" s="6">
        <v>10.99</v>
      </c>
      <c r="G149" s="6">
        <v>32.97</v>
      </c>
      <c r="H149" t="s">
        <v>11</v>
      </c>
      <c r="I149" t="s">
        <v>12</v>
      </c>
      <c r="J149" t="str">
        <f>TEXT(Table1[[#This Row],[Date]],"mmm")</f>
        <v>May</v>
      </c>
      <c r="K149">
        <f>YEAR(Table1[[#This Row],[Date]])</f>
        <v>2024</v>
      </c>
      <c r="L149" s="8">
        <f>MONTH(Table1[[#This Row],[Date]])</f>
        <v>5</v>
      </c>
    </row>
    <row r="150" spans="1:12" x14ac:dyDescent="0.3">
      <c r="A150" s="8">
        <v>10149</v>
      </c>
      <c r="B150" s="1">
        <v>45440</v>
      </c>
      <c r="C150" t="s">
        <v>23</v>
      </c>
      <c r="D150" t="s">
        <v>168</v>
      </c>
      <c r="E150" s="8">
        <v>1</v>
      </c>
      <c r="F150" s="6">
        <v>25</v>
      </c>
      <c r="G150" s="6">
        <v>25</v>
      </c>
      <c r="H150" t="s">
        <v>15</v>
      </c>
      <c r="I150" t="s">
        <v>16</v>
      </c>
      <c r="J150" t="str">
        <f>TEXT(Table1[[#This Row],[Date]],"mmm")</f>
        <v>May</v>
      </c>
      <c r="K150">
        <f>YEAR(Table1[[#This Row],[Date]])</f>
        <v>2024</v>
      </c>
      <c r="L150" s="8">
        <f>MONTH(Table1[[#This Row],[Date]])</f>
        <v>5</v>
      </c>
    </row>
    <row r="151" spans="1:12" x14ac:dyDescent="0.3">
      <c r="A151" s="8">
        <v>10150</v>
      </c>
      <c r="B151" s="1">
        <v>45441</v>
      </c>
      <c r="C151" t="s">
        <v>25</v>
      </c>
      <c r="D151" t="s">
        <v>169</v>
      </c>
      <c r="E151" s="8">
        <v>2</v>
      </c>
      <c r="F151" s="6">
        <v>149.99</v>
      </c>
      <c r="G151" s="6">
        <v>299.98</v>
      </c>
      <c r="H151" t="s">
        <v>19</v>
      </c>
      <c r="I151" t="s">
        <v>12</v>
      </c>
      <c r="J151" t="str">
        <f>TEXT(Table1[[#This Row],[Date]],"mmm")</f>
        <v>May</v>
      </c>
      <c r="K151">
        <f>YEAR(Table1[[#This Row],[Date]])</f>
        <v>2024</v>
      </c>
      <c r="L151" s="8">
        <f>MONTH(Table1[[#This Row],[Date]])</f>
        <v>5</v>
      </c>
    </row>
    <row r="152" spans="1:12" x14ac:dyDescent="0.3">
      <c r="A152" s="8">
        <v>10151</v>
      </c>
      <c r="B152" s="1">
        <v>45442</v>
      </c>
      <c r="C152" t="s">
        <v>9</v>
      </c>
      <c r="D152" t="s">
        <v>51</v>
      </c>
      <c r="E152" s="8">
        <v>1</v>
      </c>
      <c r="F152" s="6">
        <v>349.99</v>
      </c>
      <c r="G152" s="6">
        <v>349.99</v>
      </c>
      <c r="H152" t="s">
        <v>11</v>
      </c>
      <c r="I152" t="s">
        <v>12</v>
      </c>
      <c r="J152" t="str">
        <f>TEXT(Table1[[#This Row],[Date]],"mmm")</f>
        <v>May</v>
      </c>
      <c r="K152">
        <f>YEAR(Table1[[#This Row],[Date]])</f>
        <v>2024</v>
      </c>
      <c r="L152" s="8">
        <f>MONTH(Table1[[#This Row],[Date]])</f>
        <v>5</v>
      </c>
    </row>
    <row r="153" spans="1:12" x14ac:dyDescent="0.3">
      <c r="A153" s="8">
        <v>10152</v>
      </c>
      <c r="B153" s="1">
        <v>45443</v>
      </c>
      <c r="C153" t="s">
        <v>13</v>
      </c>
      <c r="D153" t="s">
        <v>170</v>
      </c>
      <c r="E153" s="8">
        <v>2</v>
      </c>
      <c r="F153" s="6">
        <v>199.99</v>
      </c>
      <c r="G153" s="6">
        <v>399.98</v>
      </c>
      <c r="H153" t="s">
        <v>15</v>
      </c>
      <c r="I153" t="s">
        <v>16</v>
      </c>
      <c r="J153" t="str">
        <f>TEXT(Table1[[#This Row],[Date]],"mmm")</f>
        <v>May</v>
      </c>
      <c r="K153">
        <f>YEAR(Table1[[#This Row],[Date]])</f>
        <v>2024</v>
      </c>
      <c r="L153" s="8">
        <f>MONTH(Table1[[#This Row],[Date]])</f>
        <v>5</v>
      </c>
    </row>
    <row r="154" spans="1:12" x14ac:dyDescent="0.3">
      <c r="A154" s="8">
        <v>10153</v>
      </c>
      <c r="B154" s="1">
        <v>45444</v>
      </c>
      <c r="C154" t="s">
        <v>17</v>
      </c>
      <c r="D154" t="s">
        <v>171</v>
      </c>
      <c r="E154" s="8">
        <v>3</v>
      </c>
      <c r="F154" s="6">
        <v>54.99</v>
      </c>
      <c r="G154" s="6">
        <v>164.97</v>
      </c>
      <c r="H154" t="s">
        <v>19</v>
      </c>
      <c r="I154" t="s">
        <v>20</v>
      </c>
      <c r="J154" t="str">
        <f>TEXT(Table1[[#This Row],[Date]],"mmm")</f>
        <v>Jun</v>
      </c>
      <c r="K154">
        <f>YEAR(Table1[[#This Row],[Date]])</f>
        <v>2024</v>
      </c>
      <c r="L154" s="8">
        <f>MONTH(Table1[[#This Row],[Date]])</f>
        <v>6</v>
      </c>
    </row>
    <row r="155" spans="1:12" x14ac:dyDescent="0.3">
      <c r="A155" s="8">
        <v>10154</v>
      </c>
      <c r="B155" s="1">
        <v>45445</v>
      </c>
      <c r="C155" t="s">
        <v>21</v>
      </c>
      <c r="D155" t="s">
        <v>172</v>
      </c>
      <c r="E155" s="8">
        <v>2</v>
      </c>
      <c r="F155" s="6">
        <v>16.989999999999998</v>
      </c>
      <c r="G155" s="6">
        <v>33.979999999999997</v>
      </c>
      <c r="H155" t="s">
        <v>11</v>
      </c>
      <c r="I155" t="s">
        <v>12</v>
      </c>
      <c r="J155" t="str">
        <f>TEXT(Table1[[#This Row],[Date]],"mmm")</f>
        <v>Jun</v>
      </c>
      <c r="K155">
        <f>YEAR(Table1[[#This Row],[Date]])</f>
        <v>2024</v>
      </c>
      <c r="L155" s="8">
        <f>MONTH(Table1[[#This Row],[Date]])</f>
        <v>6</v>
      </c>
    </row>
    <row r="156" spans="1:12" x14ac:dyDescent="0.3">
      <c r="A156" s="8">
        <v>10155</v>
      </c>
      <c r="B156" s="1">
        <v>45446</v>
      </c>
      <c r="C156" t="s">
        <v>23</v>
      </c>
      <c r="D156" t="s">
        <v>173</v>
      </c>
      <c r="E156" s="8">
        <v>1</v>
      </c>
      <c r="F156" s="6">
        <v>59</v>
      </c>
      <c r="G156" s="6">
        <v>59</v>
      </c>
      <c r="H156" t="s">
        <v>15</v>
      </c>
      <c r="I156" t="s">
        <v>16</v>
      </c>
      <c r="J156" t="str">
        <f>TEXT(Table1[[#This Row],[Date]],"mmm")</f>
        <v>Jun</v>
      </c>
      <c r="K156">
        <f>YEAR(Table1[[#This Row],[Date]])</f>
        <v>2024</v>
      </c>
      <c r="L156" s="8">
        <f>MONTH(Table1[[#This Row],[Date]])</f>
        <v>6</v>
      </c>
    </row>
    <row r="157" spans="1:12" x14ac:dyDescent="0.3">
      <c r="A157" s="8">
        <v>10156</v>
      </c>
      <c r="B157" s="1">
        <v>45447</v>
      </c>
      <c r="C157" t="s">
        <v>25</v>
      </c>
      <c r="D157" t="s">
        <v>174</v>
      </c>
      <c r="E157" s="8">
        <v>1</v>
      </c>
      <c r="F157" s="6">
        <v>299.99</v>
      </c>
      <c r="G157" s="6">
        <v>299.99</v>
      </c>
      <c r="H157" t="s">
        <v>19</v>
      </c>
      <c r="I157" t="s">
        <v>12</v>
      </c>
      <c r="J157" t="str">
        <f>TEXT(Table1[[#This Row],[Date]],"mmm")</f>
        <v>Jun</v>
      </c>
      <c r="K157">
        <f>YEAR(Table1[[#This Row],[Date]])</f>
        <v>2024</v>
      </c>
      <c r="L157" s="8">
        <f>MONTH(Table1[[#This Row],[Date]])</f>
        <v>6</v>
      </c>
    </row>
    <row r="158" spans="1:12" x14ac:dyDescent="0.3">
      <c r="A158" s="8">
        <v>10157</v>
      </c>
      <c r="B158" s="1">
        <v>45448</v>
      </c>
      <c r="C158" t="s">
        <v>9</v>
      </c>
      <c r="D158" t="s">
        <v>175</v>
      </c>
      <c r="E158" s="8">
        <v>1</v>
      </c>
      <c r="F158" s="6">
        <v>899.99</v>
      </c>
      <c r="G158" s="6">
        <v>899.99</v>
      </c>
      <c r="H158" t="s">
        <v>11</v>
      </c>
      <c r="I158" t="s">
        <v>12</v>
      </c>
      <c r="J158" t="str">
        <f>TEXT(Table1[[#This Row],[Date]],"mmm")</f>
        <v>Jun</v>
      </c>
      <c r="K158">
        <f>YEAR(Table1[[#This Row],[Date]])</f>
        <v>2024</v>
      </c>
      <c r="L158" s="8">
        <f>MONTH(Table1[[#This Row],[Date]])</f>
        <v>6</v>
      </c>
    </row>
    <row r="159" spans="1:12" x14ac:dyDescent="0.3">
      <c r="A159" s="8">
        <v>10158</v>
      </c>
      <c r="B159" s="1">
        <v>45449</v>
      </c>
      <c r="C159" t="s">
        <v>13</v>
      </c>
      <c r="D159" t="s">
        <v>176</v>
      </c>
      <c r="E159" s="8">
        <v>1</v>
      </c>
      <c r="F159" s="6">
        <v>499.95</v>
      </c>
      <c r="G159" s="6">
        <v>499.95</v>
      </c>
      <c r="H159" t="s">
        <v>15</v>
      </c>
      <c r="I159" t="s">
        <v>16</v>
      </c>
      <c r="J159" t="str">
        <f>TEXT(Table1[[#This Row],[Date]],"mmm")</f>
        <v>Jun</v>
      </c>
      <c r="K159">
        <f>YEAR(Table1[[#This Row],[Date]])</f>
        <v>2024</v>
      </c>
      <c r="L159" s="8">
        <f>MONTH(Table1[[#This Row],[Date]])</f>
        <v>6</v>
      </c>
    </row>
    <row r="160" spans="1:12" x14ac:dyDescent="0.3">
      <c r="A160" s="8">
        <v>10159</v>
      </c>
      <c r="B160" s="1">
        <v>45450</v>
      </c>
      <c r="C160" t="s">
        <v>17</v>
      </c>
      <c r="D160" t="s">
        <v>177</v>
      </c>
      <c r="E160" s="8">
        <v>4</v>
      </c>
      <c r="F160" s="6">
        <v>24.99</v>
      </c>
      <c r="G160" s="6">
        <v>99.96</v>
      </c>
      <c r="H160" t="s">
        <v>19</v>
      </c>
      <c r="I160" t="s">
        <v>20</v>
      </c>
      <c r="J160" t="str">
        <f>TEXT(Table1[[#This Row],[Date]],"mmm")</f>
        <v>Jun</v>
      </c>
      <c r="K160">
        <f>YEAR(Table1[[#This Row],[Date]])</f>
        <v>2024</v>
      </c>
      <c r="L160" s="8">
        <f>MONTH(Table1[[#This Row],[Date]])</f>
        <v>6</v>
      </c>
    </row>
    <row r="161" spans="1:12" x14ac:dyDescent="0.3">
      <c r="A161" s="8">
        <v>10160</v>
      </c>
      <c r="B161" s="1">
        <v>45451</v>
      </c>
      <c r="C161" t="s">
        <v>21</v>
      </c>
      <c r="D161" t="s">
        <v>178</v>
      </c>
      <c r="E161" s="8">
        <v>3</v>
      </c>
      <c r="F161" s="6">
        <v>7.99</v>
      </c>
      <c r="G161" s="6">
        <v>23.97</v>
      </c>
      <c r="H161" t="s">
        <v>11</v>
      </c>
      <c r="I161" t="s">
        <v>12</v>
      </c>
      <c r="J161" t="str">
        <f>TEXT(Table1[[#This Row],[Date]],"mmm")</f>
        <v>Jun</v>
      </c>
      <c r="K161">
        <f>YEAR(Table1[[#This Row],[Date]])</f>
        <v>2024</v>
      </c>
      <c r="L161" s="8">
        <f>MONTH(Table1[[#This Row],[Date]])</f>
        <v>6</v>
      </c>
    </row>
    <row r="162" spans="1:12" x14ac:dyDescent="0.3">
      <c r="A162" s="8">
        <v>10161</v>
      </c>
      <c r="B162" s="1">
        <v>45452</v>
      </c>
      <c r="C162" t="s">
        <v>23</v>
      </c>
      <c r="D162" t="s">
        <v>179</v>
      </c>
      <c r="E162" s="8">
        <v>1</v>
      </c>
      <c r="F162" s="6">
        <v>36</v>
      </c>
      <c r="G162" s="6">
        <v>36</v>
      </c>
      <c r="H162" t="s">
        <v>15</v>
      </c>
      <c r="I162" t="s">
        <v>16</v>
      </c>
      <c r="J162" t="str">
        <f>TEXT(Table1[[#This Row],[Date]],"mmm")</f>
        <v>Jun</v>
      </c>
      <c r="K162">
        <f>YEAR(Table1[[#This Row],[Date]])</f>
        <v>2024</v>
      </c>
      <c r="L162" s="8">
        <f>MONTH(Table1[[#This Row],[Date]])</f>
        <v>6</v>
      </c>
    </row>
    <row r="163" spans="1:12" x14ac:dyDescent="0.3">
      <c r="A163" s="8">
        <v>10162</v>
      </c>
      <c r="B163" s="1">
        <v>45453</v>
      </c>
      <c r="C163" t="s">
        <v>25</v>
      </c>
      <c r="D163" t="s">
        <v>180</v>
      </c>
      <c r="E163" s="8">
        <v>2</v>
      </c>
      <c r="F163" s="6">
        <v>34.99</v>
      </c>
      <c r="G163" s="6">
        <v>69.98</v>
      </c>
      <c r="H163" t="s">
        <v>19</v>
      </c>
      <c r="I163" t="s">
        <v>12</v>
      </c>
      <c r="J163" t="str">
        <f>TEXT(Table1[[#This Row],[Date]],"mmm")</f>
        <v>Jun</v>
      </c>
      <c r="K163">
        <f>YEAR(Table1[[#This Row],[Date]])</f>
        <v>2024</v>
      </c>
      <c r="L163" s="8">
        <f>MONTH(Table1[[#This Row],[Date]])</f>
        <v>6</v>
      </c>
    </row>
    <row r="164" spans="1:12" x14ac:dyDescent="0.3">
      <c r="A164" s="8">
        <v>10163</v>
      </c>
      <c r="B164" s="1">
        <v>45454</v>
      </c>
      <c r="C164" t="s">
        <v>9</v>
      </c>
      <c r="D164" t="s">
        <v>181</v>
      </c>
      <c r="E164" s="8">
        <v>1</v>
      </c>
      <c r="F164" s="6">
        <v>1199.99</v>
      </c>
      <c r="G164" s="6">
        <v>1199.99</v>
      </c>
      <c r="H164" t="s">
        <v>11</v>
      </c>
      <c r="I164" t="s">
        <v>12</v>
      </c>
      <c r="J164" t="str">
        <f>TEXT(Table1[[#This Row],[Date]],"mmm")</f>
        <v>Jun</v>
      </c>
      <c r="K164">
        <f>YEAR(Table1[[#This Row],[Date]])</f>
        <v>2024</v>
      </c>
      <c r="L164" s="8">
        <f>MONTH(Table1[[#This Row],[Date]])</f>
        <v>6</v>
      </c>
    </row>
    <row r="165" spans="1:12" x14ac:dyDescent="0.3">
      <c r="A165" s="8">
        <v>10164</v>
      </c>
      <c r="B165" s="1">
        <v>45455</v>
      </c>
      <c r="C165" t="s">
        <v>13</v>
      </c>
      <c r="D165" t="s">
        <v>182</v>
      </c>
      <c r="E165" s="8">
        <v>1</v>
      </c>
      <c r="F165" s="6">
        <v>199.99</v>
      </c>
      <c r="G165" s="6">
        <v>199.99</v>
      </c>
      <c r="H165" t="s">
        <v>15</v>
      </c>
      <c r="I165" t="s">
        <v>16</v>
      </c>
      <c r="J165" t="str">
        <f>TEXT(Table1[[#This Row],[Date]],"mmm")</f>
        <v>Jun</v>
      </c>
      <c r="K165">
        <f>YEAR(Table1[[#This Row],[Date]])</f>
        <v>2024</v>
      </c>
      <c r="L165" s="8">
        <f>MONTH(Table1[[#This Row],[Date]])</f>
        <v>6</v>
      </c>
    </row>
    <row r="166" spans="1:12" x14ac:dyDescent="0.3">
      <c r="A166" s="8">
        <v>10165</v>
      </c>
      <c r="B166" s="1">
        <v>45456</v>
      </c>
      <c r="C166" t="s">
        <v>17</v>
      </c>
      <c r="D166" t="s">
        <v>183</v>
      </c>
      <c r="E166" s="8">
        <v>5</v>
      </c>
      <c r="F166" s="6">
        <v>29.99</v>
      </c>
      <c r="G166" s="6">
        <v>149.94999999999999</v>
      </c>
      <c r="H166" t="s">
        <v>19</v>
      </c>
      <c r="I166" t="s">
        <v>20</v>
      </c>
      <c r="J166" t="str">
        <f>TEXT(Table1[[#This Row],[Date]],"mmm")</f>
        <v>Jun</v>
      </c>
      <c r="K166">
        <f>YEAR(Table1[[#This Row],[Date]])</f>
        <v>2024</v>
      </c>
      <c r="L166" s="8">
        <f>MONTH(Table1[[#This Row],[Date]])</f>
        <v>6</v>
      </c>
    </row>
    <row r="167" spans="1:12" x14ac:dyDescent="0.3">
      <c r="A167" s="8">
        <v>10166</v>
      </c>
      <c r="B167" s="1">
        <v>45457</v>
      </c>
      <c r="C167" t="s">
        <v>21</v>
      </c>
      <c r="D167" t="s">
        <v>184</v>
      </c>
      <c r="E167" s="8">
        <v>4</v>
      </c>
      <c r="F167" s="6">
        <v>8.99</v>
      </c>
      <c r="G167" s="6">
        <v>35.96</v>
      </c>
      <c r="H167" t="s">
        <v>11</v>
      </c>
      <c r="I167" t="s">
        <v>12</v>
      </c>
      <c r="J167" t="str">
        <f>TEXT(Table1[[#This Row],[Date]],"mmm")</f>
        <v>Jun</v>
      </c>
      <c r="K167">
        <f>YEAR(Table1[[#This Row],[Date]])</f>
        <v>2024</v>
      </c>
      <c r="L167" s="8">
        <f>MONTH(Table1[[#This Row],[Date]])</f>
        <v>6</v>
      </c>
    </row>
    <row r="168" spans="1:12" x14ac:dyDescent="0.3">
      <c r="A168" s="8">
        <v>10167</v>
      </c>
      <c r="B168" s="1">
        <v>45458</v>
      </c>
      <c r="C168" t="s">
        <v>23</v>
      </c>
      <c r="D168" t="s">
        <v>185</v>
      </c>
      <c r="E168" s="8">
        <v>1</v>
      </c>
      <c r="F168" s="6">
        <v>16.989999999999998</v>
      </c>
      <c r="G168" s="6">
        <v>16.989999999999998</v>
      </c>
      <c r="H168" t="s">
        <v>15</v>
      </c>
      <c r="I168" t="s">
        <v>16</v>
      </c>
      <c r="J168" t="str">
        <f>TEXT(Table1[[#This Row],[Date]],"mmm")</f>
        <v>Jun</v>
      </c>
      <c r="K168">
        <f>YEAR(Table1[[#This Row],[Date]])</f>
        <v>2024</v>
      </c>
      <c r="L168" s="8">
        <f>MONTH(Table1[[#This Row],[Date]])</f>
        <v>6</v>
      </c>
    </row>
    <row r="169" spans="1:12" x14ac:dyDescent="0.3">
      <c r="A169" s="8">
        <v>10168</v>
      </c>
      <c r="B169" s="1">
        <v>45459</v>
      </c>
      <c r="C169" t="s">
        <v>25</v>
      </c>
      <c r="D169" t="s">
        <v>186</v>
      </c>
      <c r="E169" s="8">
        <v>3</v>
      </c>
      <c r="F169" s="6">
        <v>49.99</v>
      </c>
      <c r="G169" s="6">
        <v>149.97</v>
      </c>
      <c r="H169" t="s">
        <v>19</v>
      </c>
      <c r="I169" t="s">
        <v>12</v>
      </c>
      <c r="J169" t="str">
        <f>TEXT(Table1[[#This Row],[Date]],"mmm")</f>
        <v>Jun</v>
      </c>
      <c r="K169">
        <f>YEAR(Table1[[#This Row],[Date]])</f>
        <v>2024</v>
      </c>
      <c r="L169" s="8">
        <f>MONTH(Table1[[#This Row],[Date]])</f>
        <v>6</v>
      </c>
    </row>
    <row r="170" spans="1:12" x14ac:dyDescent="0.3">
      <c r="A170" s="8">
        <v>10169</v>
      </c>
      <c r="B170" s="1">
        <v>45460</v>
      </c>
      <c r="C170" t="s">
        <v>9</v>
      </c>
      <c r="D170" t="s">
        <v>187</v>
      </c>
      <c r="E170" s="8">
        <v>1</v>
      </c>
      <c r="F170" s="6">
        <v>699.99</v>
      </c>
      <c r="G170" s="6">
        <v>699.99</v>
      </c>
      <c r="H170" t="s">
        <v>11</v>
      </c>
      <c r="I170" t="s">
        <v>12</v>
      </c>
      <c r="J170" t="str">
        <f>TEXT(Table1[[#This Row],[Date]],"mmm")</f>
        <v>Jun</v>
      </c>
      <c r="K170">
        <f>YEAR(Table1[[#This Row],[Date]])</f>
        <v>2024</v>
      </c>
      <c r="L170" s="8">
        <f>MONTH(Table1[[#This Row],[Date]])</f>
        <v>6</v>
      </c>
    </row>
    <row r="171" spans="1:12" x14ac:dyDescent="0.3">
      <c r="A171" s="8">
        <v>10170</v>
      </c>
      <c r="B171" s="1">
        <v>45461</v>
      </c>
      <c r="C171" t="s">
        <v>13</v>
      </c>
      <c r="D171" t="s">
        <v>188</v>
      </c>
      <c r="E171" s="8">
        <v>2</v>
      </c>
      <c r="F171" s="6">
        <v>139.99</v>
      </c>
      <c r="G171" s="6">
        <v>279.98</v>
      </c>
      <c r="H171" t="s">
        <v>15</v>
      </c>
      <c r="I171" t="s">
        <v>16</v>
      </c>
      <c r="J171" t="str">
        <f>TEXT(Table1[[#This Row],[Date]],"mmm")</f>
        <v>Jun</v>
      </c>
      <c r="K171">
        <f>YEAR(Table1[[#This Row],[Date]])</f>
        <v>2024</v>
      </c>
      <c r="L171" s="8">
        <f>MONTH(Table1[[#This Row],[Date]])</f>
        <v>6</v>
      </c>
    </row>
    <row r="172" spans="1:12" x14ac:dyDescent="0.3">
      <c r="A172" s="8">
        <v>10171</v>
      </c>
      <c r="B172" s="1">
        <v>45462</v>
      </c>
      <c r="C172" t="s">
        <v>17</v>
      </c>
      <c r="D172" t="s">
        <v>189</v>
      </c>
      <c r="E172" s="8">
        <v>3</v>
      </c>
      <c r="F172" s="6">
        <v>34.99</v>
      </c>
      <c r="G172" s="6">
        <v>104.97</v>
      </c>
      <c r="H172" t="s">
        <v>19</v>
      </c>
      <c r="I172" t="s">
        <v>20</v>
      </c>
      <c r="J172" t="str">
        <f>TEXT(Table1[[#This Row],[Date]],"mmm")</f>
        <v>Jun</v>
      </c>
      <c r="K172">
        <f>YEAR(Table1[[#This Row],[Date]])</f>
        <v>2024</v>
      </c>
      <c r="L172" s="8">
        <f>MONTH(Table1[[#This Row],[Date]])</f>
        <v>6</v>
      </c>
    </row>
    <row r="173" spans="1:12" x14ac:dyDescent="0.3">
      <c r="A173" s="8">
        <v>10172</v>
      </c>
      <c r="B173" s="1">
        <v>45463</v>
      </c>
      <c r="C173" t="s">
        <v>21</v>
      </c>
      <c r="D173" t="s">
        <v>190</v>
      </c>
      <c r="E173" s="8">
        <v>2</v>
      </c>
      <c r="F173" s="6">
        <v>9.99</v>
      </c>
      <c r="G173" s="6">
        <v>19.98</v>
      </c>
      <c r="H173" t="s">
        <v>11</v>
      </c>
      <c r="I173" t="s">
        <v>12</v>
      </c>
      <c r="J173" t="str">
        <f>TEXT(Table1[[#This Row],[Date]],"mmm")</f>
        <v>Jun</v>
      </c>
      <c r="K173">
        <f>YEAR(Table1[[#This Row],[Date]])</f>
        <v>2024</v>
      </c>
      <c r="L173" s="8">
        <f>MONTH(Table1[[#This Row],[Date]])</f>
        <v>6</v>
      </c>
    </row>
    <row r="174" spans="1:12" x14ac:dyDescent="0.3">
      <c r="A174" s="8">
        <v>10173</v>
      </c>
      <c r="B174" s="1">
        <v>45464</v>
      </c>
      <c r="C174" t="s">
        <v>23</v>
      </c>
      <c r="D174" t="s">
        <v>191</v>
      </c>
      <c r="E174" s="8">
        <v>1</v>
      </c>
      <c r="F174" s="6">
        <v>29.5</v>
      </c>
      <c r="G174" s="6">
        <v>29.5</v>
      </c>
      <c r="H174" t="s">
        <v>15</v>
      </c>
      <c r="I174" t="s">
        <v>16</v>
      </c>
      <c r="J174" t="str">
        <f>TEXT(Table1[[#This Row],[Date]],"mmm")</f>
        <v>Jun</v>
      </c>
      <c r="K174">
        <f>YEAR(Table1[[#This Row],[Date]])</f>
        <v>2024</v>
      </c>
      <c r="L174" s="8">
        <f>MONTH(Table1[[#This Row],[Date]])</f>
        <v>6</v>
      </c>
    </row>
    <row r="175" spans="1:12" x14ac:dyDescent="0.3">
      <c r="A175" s="8">
        <v>10174</v>
      </c>
      <c r="B175" s="1">
        <v>45465</v>
      </c>
      <c r="C175" t="s">
        <v>25</v>
      </c>
      <c r="D175" t="s">
        <v>192</v>
      </c>
      <c r="E175" s="8">
        <v>1</v>
      </c>
      <c r="F175" s="6">
        <v>699.99</v>
      </c>
      <c r="G175" s="6">
        <v>699.99</v>
      </c>
      <c r="H175" t="s">
        <v>19</v>
      </c>
      <c r="I175" t="s">
        <v>12</v>
      </c>
      <c r="J175" t="str">
        <f>TEXT(Table1[[#This Row],[Date]],"mmm")</f>
        <v>Jun</v>
      </c>
      <c r="K175">
        <f>YEAR(Table1[[#This Row],[Date]])</f>
        <v>2024</v>
      </c>
      <c r="L175" s="8">
        <f>MONTH(Table1[[#This Row],[Date]])</f>
        <v>6</v>
      </c>
    </row>
    <row r="176" spans="1:12" x14ac:dyDescent="0.3">
      <c r="A176" s="8">
        <v>10175</v>
      </c>
      <c r="B176" s="1">
        <v>45466</v>
      </c>
      <c r="C176" t="s">
        <v>9</v>
      </c>
      <c r="D176" t="s">
        <v>193</v>
      </c>
      <c r="E176" s="8">
        <v>3</v>
      </c>
      <c r="F176" s="6">
        <v>49.99</v>
      </c>
      <c r="G176" s="6">
        <v>149.97</v>
      </c>
      <c r="H176" t="s">
        <v>11</v>
      </c>
      <c r="I176" t="s">
        <v>12</v>
      </c>
      <c r="J176" t="str">
        <f>TEXT(Table1[[#This Row],[Date]],"mmm")</f>
        <v>Jun</v>
      </c>
      <c r="K176">
        <f>YEAR(Table1[[#This Row],[Date]])</f>
        <v>2024</v>
      </c>
      <c r="L176" s="8">
        <f>MONTH(Table1[[#This Row],[Date]])</f>
        <v>6</v>
      </c>
    </row>
    <row r="177" spans="1:12" x14ac:dyDescent="0.3">
      <c r="A177" s="8">
        <v>10176</v>
      </c>
      <c r="B177" s="1">
        <v>45467</v>
      </c>
      <c r="C177" t="s">
        <v>13</v>
      </c>
      <c r="D177" t="s">
        <v>194</v>
      </c>
      <c r="E177" s="8">
        <v>2</v>
      </c>
      <c r="F177" s="6">
        <v>49.99</v>
      </c>
      <c r="G177" s="6">
        <v>99.98</v>
      </c>
      <c r="H177" t="s">
        <v>15</v>
      </c>
      <c r="I177" t="s">
        <v>16</v>
      </c>
      <c r="J177" t="str">
        <f>TEXT(Table1[[#This Row],[Date]],"mmm")</f>
        <v>Jun</v>
      </c>
      <c r="K177">
        <f>YEAR(Table1[[#This Row],[Date]])</f>
        <v>2024</v>
      </c>
      <c r="L177" s="8">
        <f>MONTH(Table1[[#This Row],[Date]])</f>
        <v>6</v>
      </c>
    </row>
    <row r="178" spans="1:12" x14ac:dyDescent="0.3">
      <c r="A178" s="8">
        <v>10177</v>
      </c>
      <c r="B178" s="1">
        <v>45468</v>
      </c>
      <c r="C178" t="s">
        <v>17</v>
      </c>
      <c r="D178" t="s">
        <v>195</v>
      </c>
      <c r="E178" s="8">
        <v>4</v>
      </c>
      <c r="F178" s="6">
        <v>14.9</v>
      </c>
      <c r="G178" s="6">
        <v>59.6</v>
      </c>
      <c r="H178" t="s">
        <v>19</v>
      </c>
      <c r="I178" t="s">
        <v>20</v>
      </c>
      <c r="J178" t="str">
        <f>TEXT(Table1[[#This Row],[Date]],"mmm")</f>
        <v>Jun</v>
      </c>
      <c r="K178">
        <f>YEAR(Table1[[#This Row],[Date]])</f>
        <v>2024</v>
      </c>
      <c r="L178" s="8">
        <f>MONTH(Table1[[#This Row],[Date]])</f>
        <v>6</v>
      </c>
    </row>
    <row r="179" spans="1:12" x14ac:dyDescent="0.3">
      <c r="A179" s="8">
        <v>10178</v>
      </c>
      <c r="B179" s="1">
        <v>45469</v>
      </c>
      <c r="C179" t="s">
        <v>21</v>
      </c>
      <c r="D179" t="s">
        <v>196</v>
      </c>
      <c r="E179" s="8">
        <v>3</v>
      </c>
      <c r="F179" s="6">
        <v>11.99</v>
      </c>
      <c r="G179" s="6">
        <v>35.97</v>
      </c>
      <c r="H179" t="s">
        <v>11</v>
      </c>
      <c r="I179" t="s">
        <v>12</v>
      </c>
      <c r="J179" t="str">
        <f>TEXT(Table1[[#This Row],[Date]],"mmm")</f>
        <v>Jun</v>
      </c>
      <c r="K179">
        <f>YEAR(Table1[[#This Row],[Date]])</f>
        <v>2024</v>
      </c>
      <c r="L179" s="8">
        <f>MONTH(Table1[[#This Row],[Date]])</f>
        <v>6</v>
      </c>
    </row>
    <row r="180" spans="1:12" x14ac:dyDescent="0.3">
      <c r="A180" s="8">
        <v>10179</v>
      </c>
      <c r="B180" s="1">
        <v>45470</v>
      </c>
      <c r="C180" t="s">
        <v>23</v>
      </c>
      <c r="D180" t="s">
        <v>197</v>
      </c>
      <c r="E180" s="8">
        <v>2</v>
      </c>
      <c r="F180" s="6">
        <v>34</v>
      </c>
      <c r="G180" s="6">
        <v>68</v>
      </c>
      <c r="H180" t="s">
        <v>15</v>
      </c>
      <c r="I180" t="s">
        <v>16</v>
      </c>
      <c r="J180" t="str">
        <f>TEXT(Table1[[#This Row],[Date]],"mmm")</f>
        <v>Jun</v>
      </c>
      <c r="K180">
        <f>YEAR(Table1[[#This Row],[Date]])</f>
        <v>2024</v>
      </c>
      <c r="L180" s="8">
        <f>MONTH(Table1[[#This Row],[Date]])</f>
        <v>6</v>
      </c>
    </row>
    <row r="181" spans="1:12" x14ac:dyDescent="0.3">
      <c r="A181" s="8">
        <v>10180</v>
      </c>
      <c r="B181" s="1">
        <v>45471</v>
      </c>
      <c r="C181" t="s">
        <v>25</v>
      </c>
      <c r="D181" t="s">
        <v>198</v>
      </c>
      <c r="E181" s="8">
        <v>1</v>
      </c>
      <c r="F181" s="6">
        <v>146</v>
      </c>
      <c r="G181" s="6">
        <v>146</v>
      </c>
      <c r="H181" t="s">
        <v>19</v>
      </c>
      <c r="I181" t="s">
        <v>12</v>
      </c>
      <c r="J181" t="str">
        <f>TEXT(Table1[[#This Row],[Date]],"mmm")</f>
        <v>Jun</v>
      </c>
      <c r="K181">
        <f>YEAR(Table1[[#This Row],[Date]])</f>
        <v>2024</v>
      </c>
      <c r="L181" s="8">
        <f>MONTH(Table1[[#This Row],[Date]])</f>
        <v>6</v>
      </c>
    </row>
    <row r="182" spans="1:12" x14ac:dyDescent="0.3">
      <c r="A182" s="8">
        <v>10181</v>
      </c>
      <c r="B182" s="1">
        <v>45472</v>
      </c>
      <c r="C182" t="s">
        <v>9</v>
      </c>
      <c r="D182" t="s">
        <v>199</v>
      </c>
      <c r="E182" s="8">
        <v>1</v>
      </c>
      <c r="F182" s="6">
        <v>649.99</v>
      </c>
      <c r="G182" s="6">
        <v>649.99</v>
      </c>
      <c r="H182" t="s">
        <v>11</v>
      </c>
      <c r="I182" t="s">
        <v>12</v>
      </c>
      <c r="J182" t="str">
        <f>TEXT(Table1[[#This Row],[Date]],"mmm")</f>
        <v>Jun</v>
      </c>
      <c r="K182">
        <f>YEAR(Table1[[#This Row],[Date]])</f>
        <v>2024</v>
      </c>
      <c r="L182" s="8">
        <f>MONTH(Table1[[#This Row],[Date]])</f>
        <v>6</v>
      </c>
    </row>
    <row r="183" spans="1:12" x14ac:dyDescent="0.3">
      <c r="A183" s="8">
        <v>10182</v>
      </c>
      <c r="B183" s="1">
        <v>45473</v>
      </c>
      <c r="C183" t="s">
        <v>13</v>
      </c>
      <c r="D183" t="s">
        <v>200</v>
      </c>
      <c r="E183" s="8">
        <v>1</v>
      </c>
      <c r="F183" s="6">
        <v>399.99</v>
      </c>
      <c r="G183" s="6">
        <v>399.99</v>
      </c>
      <c r="H183" t="s">
        <v>15</v>
      </c>
      <c r="I183" t="s">
        <v>16</v>
      </c>
      <c r="J183" t="str">
        <f>TEXT(Table1[[#This Row],[Date]],"mmm")</f>
        <v>Jun</v>
      </c>
      <c r="K183">
        <f>YEAR(Table1[[#This Row],[Date]])</f>
        <v>2024</v>
      </c>
      <c r="L183" s="8">
        <f>MONTH(Table1[[#This Row],[Date]])</f>
        <v>6</v>
      </c>
    </row>
    <row r="184" spans="1:12" x14ac:dyDescent="0.3">
      <c r="A184" s="8">
        <v>10183</v>
      </c>
      <c r="B184" s="1">
        <v>45474</v>
      </c>
      <c r="C184" t="s">
        <v>17</v>
      </c>
      <c r="D184" t="s">
        <v>201</v>
      </c>
      <c r="E184" s="8">
        <v>3</v>
      </c>
      <c r="F184" s="6">
        <v>59.99</v>
      </c>
      <c r="G184" s="6">
        <v>179.97</v>
      </c>
      <c r="H184" t="s">
        <v>19</v>
      </c>
      <c r="I184" t="s">
        <v>20</v>
      </c>
      <c r="J184" t="str">
        <f>TEXT(Table1[[#This Row],[Date]],"mmm")</f>
        <v>Jul</v>
      </c>
      <c r="K184">
        <f>YEAR(Table1[[#This Row],[Date]])</f>
        <v>2024</v>
      </c>
      <c r="L184" s="8">
        <f>MONTH(Table1[[#This Row],[Date]])</f>
        <v>7</v>
      </c>
    </row>
    <row r="185" spans="1:12" x14ac:dyDescent="0.3">
      <c r="A185" s="8">
        <v>10184</v>
      </c>
      <c r="B185" s="1">
        <v>45475</v>
      </c>
      <c r="C185" t="s">
        <v>21</v>
      </c>
      <c r="D185" t="s">
        <v>202</v>
      </c>
      <c r="E185" s="8">
        <v>2</v>
      </c>
      <c r="F185" s="6">
        <v>12.99</v>
      </c>
      <c r="G185" s="6">
        <v>25.98</v>
      </c>
      <c r="H185" t="s">
        <v>11</v>
      </c>
      <c r="I185" t="s">
        <v>12</v>
      </c>
      <c r="J185" t="str">
        <f>TEXT(Table1[[#This Row],[Date]],"mmm")</f>
        <v>Jul</v>
      </c>
      <c r="K185">
        <f>YEAR(Table1[[#This Row],[Date]])</f>
        <v>2024</v>
      </c>
      <c r="L185" s="8">
        <f>MONTH(Table1[[#This Row],[Date]])</f>
        <v>7</v>
      </c>
    </row>
    <row r="186" spans="1:12" x14ac:dyDescent="0.3">
      <c r="A186" s="8">
        <v>10185</v>
      </c>
      <c r="B186" s="1">
        <v>45476</v>
      </c>
      <c r="C186" t="s">
        <v>23</v>
      </c>
      <c r="D186" t="s">
        <v>203</v>
      </c>
      <c r="E186" s="8">
        <v>1</v>
      </c>
      <c r="F186" s="6">
        <v>190</v>
      </c>
      <c r="G186" s="6">
        <v>190</v>
      </c>
      <c r="H186" t="s">
        <v>15</v>
      </c>
      <c r="I186" t="s">
        <v>16</v>
      </c>
      <c r="J186" t="str">
        <f>TEXT(Table1[[#This Row],[Date]],"mmm")</f>
        <v>Jul</v>
      </c>
      <c r="K186">
        <f>YEAR(Table1[[#This Row],[Date]])</f>
        <v>2024</v>
      </c>
      <c r="L186" s="8">
        <f>MONTH(Table1[[#This Row],[Date]])</f>
        <v>7</v>
      </c>
    </row>
    <row r="187" spans="1:12" x14ac:dyDescent="0.3">
      <c r="A187" s="8">
        <v>10186</v>
      </c>
      <c r="B187" s="1">
        <v>45477</v>
      </c>
      <c r="C187" t="s">
        <v>25</v>
      </c>
      <c r="D187" t="s">
        <v>204</v>
      </c>
      <c r="E187" s="8">
        <v>1</v>
      </c>
      <c r="F187" s="6">
        <v>499.95</v>
      </c>
      <c r="G187" s="6">
        <v>499.95</v>
      </c>
      <c r="H187" t="s">
        <v>19</v>
      </c>
      <c r="I187" t="s">
        <v>12</v>
      </c>
      <c r="J187" t="str">
        <f>TEXT(Table1[[#This Row],[Date]],"mmm")</f>
        <v>Jul</v>
      </c>
      <c r="K187">
        <f>YEAR(Table1[[#This Row],[Date]])</f>
        <v>2024</v>
      </c>
      <c r="L187" s="8">
        <f>MONTH(Table1[[#This Row],[Date]])</f>
        <v>7</v>
      </c>
    </row>
    <row r="188" spans="1:12" x14ac:dyDescent="0.3">
      <c r="A188" s="8">
        <v>10187</v>
      </c>
      <c r="B188" s="1">
        <v>45478</v>
      </c>
      <c r="C188" t="s">
        <v>9</v>
      </c>
      <c r="D188" t="s">
        <v>205</v>
      </c>
      <c r="E188" s="8">
        <v>1</v>
      </c>
      <c r="F188" s="6">
        <v>399</v>
      </c>
      <c r="G188" s="6">
        <v>399</v>
      </c>
      <c r="H188" t="s">
        <v>11</v>
      </c>
      <c r="I188" t="s">
        <v>12</v>
      </c>
      <c r="J188" t="str">
        <f>TEXT(Table1[[#This Row],[Date]],"mmm")</f>
        <v>Jul</v>
      </c>
      <c r="K188">
        <f>YEAR(Table1[[#This Row],[Date]])</f>
        <v>2024</v>
      </c>
      <c r="L188" s="8">
        <f>MONTH(Table1[[#This Row],[Date]])</f>
        <v>7</v>
      </c>
    </row>
    <row r="189" spans="1:12" x14ac:dyDescent="0.3">
      <c r="A189" s="8">
        <v>10188</v>
      </c>
      <c r="B189" s="1">
        <v>45479</v>
      </c>
      <c r="C189" t="s">
        <v>13</v>
      </c>
      <c r="D189" t="s">
        <v>206</v>
      </c>
      <c r="E189" s="8">
        <v>2</v>
      </c>
      <c r="F189" s="6">
        <v>199</v>
      </c>
      <c r="G189" s="6">
        <v>398</v>
      </c>
      <c r="H189" t="s">
        <v>15</v>
      </c>
      <c r="I189" t="s">
        <v>16</v>
      </c>
      <c r="J189" t="str">
        <f>TEXT(Table1[[#This Row],[Date]],"mmm")</f>
        <v>Jul</v>
      </c>
      <c r="K189">
        <f>YEAR(Table1[[#This Row],[Date]])</f>
        <v>2024</v>
      </c>
      <c r="L189" s="8">
        <f>MONTH(Table1[[#This Row],[Date]])</f>
        <v>7</v>
      </c>
    </row>
    <row r="190" spans="1:12" x14ac:dyDescent="0.3">
      <c r="A190" s="8">
        <v>10189</v>
      </c>
      <c r="B190" s="1">
        <v>45480</v>
      </c>
      <c r="C190" t="s">
        <v>17</v>
      </c>
      <c r="D190" t="s">
        <v>207</v>
      </c>
      <c r="E190" s="8">
        <v>4</v>
      </c>
      <c r="F190" s="6">
        <v>34.99</v>
      </c>
      <c r="G190" s="6">
        <v>139.96</v>
      </c>
      <c r="H190" t="s">
        <v>19</v>
      </c>
      <c r="I190" t="s">
        <v>20</v>
      </c>
      <c r="J190" t="str">
        <f>TEXT(Table1[[#This Row],[Date]],"mmm")</f>
        <v>Jul</v>
      </c>
      <c r="K190">
        <f>YEAR(Table1[[#This Row],[Date]])</f>
        <v>2024</v>
      </c>
      <c r="L190" s="8">
        <f>MONTH(Table1[[#This Row],[Date]])</f>
        <v>7</v>
      </c>
    </row>
    <row r="191" spans="1:12" x14ac:dyDescent="0.3">
      <c r="A191" s="8">
        <v>10190</v>
      </c>
      <c r="B191" s="1">
        <v>45481</v>
      </c>
      <c r="C191" t="s">
        <v>21</v>
      </c>
      <c r="D191" t="s">
        <v>108</v>
      </c>
      <c r="E191" s="8">
        <v>3</v>
      </c>
      <c r="F191" s="6">
        <v>10.99</v>
      </c>
      <c r="G191" s="6">
        <v>32.97</v>
      </c>
      <c r="H191" t="s">
        <v>11</v>
      </c>
      <c r="I191" t="s">
        <v>12</v>
      </c>
      <c r="J191" t="str">
        <f>TEXT(Table1[[#This Row],[Date]],"mmm")</f>
        <v>Jul</v>
      </c>
      <c r="K191">
        <f>YEAR(Table1[[#This Row],[Date]])</f>
        <v>2024</v>
      </c>
      <c r="L191" s="8">
        <f>MONTH(Table1[[#This Row],[Date]])</f>
        <v>7</v>
      </c>
    </row>
    <row r="192" spans="1:12" x14ac:dyDescent="0.3">
      <c r="A192" s="8">
        <v>10191</v>
      </c>
      <c r="B192" s="1">
        <v>45482</v>
      </c>
      <c r="C192" t="s">
        <v>23</v>
      </c>
      <c r="D192" t="s">
        <v>208</v>
      </c>
      <c r="E192" s="8">
        <v>1</v>
      </c>
      <c r="F192" s="6">
        <v>18</v>
      </c>
      <c r="G192" s="6">
        <v>18</v>
      </c>
      <c r="H192" t="s">
        <v>15</v>
      </c>
      <c r="I192" t="s">
        <v>16</v>
      </c>
      <c r="J192" t="str">
        <f>TEXT(Table1[[#This Row],[Date]],"mmm")</f>
        <v>Jul</v>
      </c>
      <c r="K192">
        <f>YEAR(Table1[[#This Row],[Date]])</f>
        <v>2024</v>
      </c>
      <c r="L192" s="8">
        <f>MONTH(Table1[[#This Row],[Date]])</f>
        <v>7</v>
      </c>
    </row>
    <row r="193" spans="1:12" x14ac:dyDescent="0.3">
      <c r="A193" s="8">
        <v>10192</v>
      </c>
      <c r="B193" s="1">
        <v>45483</v>
      </c>
      <c r="C193" t="s">
        <v>25</v>
      </c>
      <c r="D193" t="s">
        <v>209</v>
      </c>
      <c r="E193" s="8">
        <v>1</v>
      </c>
      <c r="F193" s="6">
        <v>169.95</v>
      </c>
      <c r="G193" s="6">
        <v>169.95</v>
      </c>
      <c r="H193" t="s">
        <v>19</v>
      </c>
      <c r="I193" t="s">
        <v>12</v>
      </c>
      <c r="J193" t="str">
        <f>TEXT(Table1[[#This Row],[Date]],"mmm")</f>
        <v>Jul</v>
      </c>
      <c r="K193">
        <f>YEAR(Table1[[#This Row],[Date]])</f>
        <v>2024</v>
      </c>
      <c r="L193" s="8">
        <f>MONTH(Table1[[#This Row],[Date]])</f>
        <v>7</v>
      </c>
    </row>
    <row r="194" spans="1:12" x14ac:dyDescent="0.3">
      <c r="A194" s="8">
        <v>10193</v>
      </c>
      <c r="B194" s="1">
        <v>45484</v>
      </c>
      <c r="C194" t="s">
        <v>9</v>
      </c>
      <c r="D194" t="s">
        <v>210</v>
      </c>
      <c r="E194" s="8">
        <v>1</v>
      </c>
      <c r="F194" s="6">
        <v>199.99</v>
      </c>
      <c r="G194" s="6">
        <v>199.99</v>
      </c>
      <c r="H194" t="s">
        <v>11</v>
      </c>
      <c r="I194" t="s">
        <v>12</v>
      </c>
      <c r="J194" t="str">
        <f>TEXT(Table1[[#This Row],[Date]],"mmm")</f>
        <v>Jul</v>
      </c>
      <c r="K194">
        <f>YEAR(Table1[[#This Row],[Date]])</f>
        <v>2024</v>
      </c>
      <c r="L194" s="8">
        <f>MONTH(Table1[[#This Row],[Date]])</f>
        <v>7</v>
      </c>
    </row>
    <row r="195" spans="1:12" x14ac:dyDescent="0.3">
      <c r="A195" s="8">
        <v>10194</v>
      </c>
      <c r="B195" s="1">
        <v>45485</v>
      </c>
      <c r="C195" t="s">
        <v>13</v>
      </c>
      <c r="D195" t="s">
        <v>211</v>
      </c>
      <c r="E195" s="8">
        <v>1</v>
      </c>
      <c r="F195" s="6">
        <v>199.95</v>
      </c>
      <c r="G195" s="6">
        <v>199.95</v>
      </c>
      <c r="H195" t="s">
        <v>15</v>
      </c>
      <c r="I195" t="s">
        <v>16</v>
      </c>
      <c r="J195" t="str">
        <f>TEXT(Table1[[#This Row],[Date]],"mmm")</f>
        <v>Jul</v>
      </c>
      <c r="K195">
        <f>YEAR(Table1[[#This Row],[Date]])</f>
        <v>2024</v>
      </c>
      <c r="L195" s="8">
        <f>MONTH(Table1[[#This Row],[Date]])</f>
        <v>7</v>
      </c>
    </row>
    <row r="196" spans="1:12" x14ac:dyDescent="0.3">
      <c r="A196" s="8">
        <v>10195</v>
      </c>
      <c r="B196" s="1">
        <v>45486</v>
      </c>
      <c r="C196" t="s">
        <v>17</v>
      </c>
      <c r="D196" t="s">
        <v>212</v>
      </c>
      <c r="E196" s="8">
        <v>2</v>
      </c>
      <c r="F196" s="6">
        <v>179.99</v>
      </c>
      <c r="G196" s="6">
        <v>359.98</v>
      </c>
      <c r="H196" t="s">
        <v>19</v>
      </c>
      <c r="I196" t="s">
        <v>20</v>
      </c>
      <c r="J196" t="str">
        <f>TEXT(Table1[[#This Row],[Date]],"mmm")</f>
        <v>Jul</v>
      </c>
      <c r="K196">
        <f>YEAR(Table1[[#This Row],[Date]])</f>
        <v>2024</v>
      </c>
      <c r="L196" s="8">
        <f>MONTH(Table1[[#This Row],[Date]])</f>
        <v>7</v>
      </c>
    </row>
    <row r="197" spans="1:12" x14ac:dyDescent="0.3">
      <c r="A197" s="8">
        <v>10196</v>
      </c>
      <c r="B197" s="1">
        <v>45487</v>
      </c>
      <c r="C197" t="s">
        <v>21</v>
      </c>
      <c r="D197" t="s">
        <v>213</v>
      </c>
      <c r="E197" s="8">
        <v>2</v>
      </c>
      <c r="F197" s="6">
        <v>11.99</v>
      </c>
      <c r="G197" s="6">
        <v>23.98</v>
      </c>
      <c r="H197" t="s">
        <v>11</v>
      </c>
      <c r="I197" t="s">
        <v>12</v>
      </c>
      <c r="J197" t="str">
        <f>TEXT(Table1[[#This Row],[Date]],"mmm")</f>
        <v>Jul</v>
      </c>
      <c r="K197">
        <f>YEAR(Table1[[#This Row],[Date]])</f>
        <v>2024</v>
      </c>
      <c r="L197" s="8">
        <f>MONTH(Table1[[#This Row],[Date]])</f>
        <v>7</v>
      </c>
    </row>
    <row r="198" spans="1:12" x14ac:dyDescent="0.3">
      <c r="A198" s="8">
        <v>10197</v>
      </c>
      <c r="B198" s="1">
        <v>45488</v>
      </c>
      <c r="C198" t="s">
        <v>23</v>
      </c>
      <c r="D198" t="s">
        <v>214</v>
      </c>
      <c r="E198" s="8">
        <v>1</v>
      </c>
      <c r="F198" s="6">
        <v>125</v>
      </c>
      <c r="G198" s="6">
        <v>125</v>
      </c>
      <c r="H198" t="s">
        <v>15</v>
      </c>
      <c r="I198" t="s">
        <v>16</v>
      </c>
      <c r="J198" t="str">
        <f>TEXT(Table1[[#This Row],[Date]],"mmm")</f>
        <v>Jul</v>
      </c>
      <c r="K198">
        <f>YEAR(Table1[[#This Row],[Date]])</f>
        <v>2024</v>
      </c>
      <c r="L198" s="8">
        <f>MONTH(Table1[[#This Row],[Date]])</f>
        <v>7</v>
      </c>
    </row>
    <row r="199" spans="1:12" x14ac:dyDescent="0.3">
      <c r="A199" s="8">
        <v>10198</v>
      </c>
      <c r="B199" s="1">
        <v>45489</v>
      </c>
      <c r="C199" t="s">
        <v>25</v>
      </c>
      <c r="D199" t="s">
        <v>215</v>
      </c>
      <c r="E199" s="8">
        <v>1</v>
      </c>
      <c r="F199" s="6">
        <v>449.99</v>
      </c>
      <c r="G199" s="6">
        <v>449.99</v>
      </c>
      <c r="H199" t="s">
        <v>19</v>
      </c>
      <c r="I199" t="s">
        <v>12</v>
      </c>
      <c r="J199" t="str">
        <f>TEXT(Table1[[#This Row],[Date]],"mmm")</f>
        <v>Jul</v>
      </c>
      <c r="K199">
        <f>YEAR(Table1[[#This Row],[Date]])</f>
        <v>2024</v>
      </c>
      <c r="L199" s="8">
        <f>MONTH(Table1[[#This Row],[Date]])</f>
        <v>7</v>
      </c>
    </row>
    <row r="200" spans="1:12" x14ac:dyDescent="0.3">
      <c r="A200" s="8">
        <v>10199</v>
      </c>
      <c r="B200" s="1">
        <v>45490</v>
      </c>
      <c r="C200" t="s">
        <v>9</v>
      </c>
      <c r="D200" t="s">
        <v>216</v>
      </c>
      <c r="E200" s="8">
        <v>2</v>
      </c>
      <c r="F200" s="6">
        <v>179</v>
      </c>
      <c r="G200" s="6">
        <v>358</v>
      </c>
      <c r="H200" t="s">
        <v>11</v>
      </c>
      <c r="I200" t="s">
        <v>12</v>
      </c>
      <c r="J200" t="str">
        <f>TEXT(Table1[[#This Row],[Date]],"mmm")</f>
        <v>Jul</v>
      </c>
      <c r="K200">
        <f>YEAR(Table1[[#This Row],[Date]])</f>
        <v>2024</v>
      </c>
      <c r="L200" s="8">
        <f>MONTH(Table1[[#This Row],[Date]])</f>
        <v>7</v>
      </c>
    </row>
    <row r="201" spans="1:12" x14ac:dyDescent="0.3">
      <c r="A201" s="8">
        <v>10200</v>
      </c>
      <c r="B201" s="1">
        <v>45491</v>
      </c>
      <c r="C201" t="s">
        <v>13</v>
      </c>
      <c r="D201" t="s">
        <v>217</v>
      </c>
      <c r="E201" s="8">
        <v>1</v>
      </c>
      <c r="F201" s="6">
        <v>99.95</v>
      </c>
      <c r="G201" s="6">
        <v>99.95</v>
      </c>
      <c r="H201" t="s">
        <v>15</v>
      </c>
      <c r="I201" t="s">
        <v>16</v>
      </c>
      <c r="J201" t="str">
        <f>TEXT(Table1[[#This Row],[Date]],"mmm")</f>
        <v>Jul</v>
      </c>
      <c r="K201">
        <f>YEAR(Table1[[#This Row],[Date]])</f>
        <v>2024</v>
      </c>
      <c r="L201" s="8">
        <f>MONTH(Table1[[#This Row],[Date]])</f>
        <v>7</v>
      </c>
    </row>
    <row r="202" spans="1:12" x14ac:dyDescent="0.3">
      <c r="A202" s="8">
        <v>10201</v>
      </c>
      <c r="B202" s="1">
        <v>45492</v>
      </c>
      <c r="C202" t="s">
        <v>17</v>
      </c>
      <c r="D202" t="s">
        <v>218</v>
      </c>
      <c r="E202" s="8">
        <v>3</v>
      </c>
      <c r="F202" s="6">
        <v>59.99</v>
      </c>
      <c r="G202" s="6">
        <v>179.97</v>
      </c>
      <c r="H202" t="s">
        <v>19</v>
      </c>
      <c r="I202" t="s">
        <v>20</v>
      </c>
      <c r="J202" t="str">
        <f>TEXT(Table1[[#This Row],[Date]],"mmm")</f>
        <v>Jul</v>
      </c>
      <c r="K202">
        <f>YEAR(Table1[[#This Row],[Date]])</f>
        <v>2024</v>
      </c>
      <c r="L202" s="8">
        <f>MONTH(Table1[[#This Row],[Date]])</f>
        <v>7</v>
      </c>
    </row>
    <row r="203" spans="1:12" x14ac:dyDescent="0.3">
      <c r="A203" s="8">
        <v>10202</v>
      </c>
      <c r="B203" s="1">
        <v>45493</v>
      </c>
      <c r="C203" t="s">
        <v>21</v>
      </c>
      <c r="D203" t="s">
        <v>219</v>
      </c>
      <c r="E203" s="8">
        <v>2</v>
      </c>
      <c r="F203" s="6">
        <v>14.99</v>
      </c>
      <c r="G203" s="6">
        <v>29.98</v>
      </c>
      <c r="H203" t="s">
        <v>11</v>
      </c>
      <c r="I203" t="s">
        <v>12</v>
      </c>
      <c r="J203" t="str">
        <f>TEXT(Table1[[#This Row],[Date]],"mmm")</f>
        <v>Jul</v>
      </c>
      <c r="K203">
        <f>YEAR(Table1[[#This Row],[Date]])</f>
        <v>2024</v>
      </c>
      <c r="L203" s="8">
        <f>MONTH(Table1[[#This Row],[Date]])</f>
        <v>7</v>
      </c>
    </row>
    <row r="204" spans="1:12" x14ac:dyDescent="0.3">
      <c r="A204" s="8">
        <v>10203</v>
      </c>
      <c r="B204" s="1">
        <v>45494</v>
      </c>
      <c r="C204" t="s">
        <v>23</v>
      </c>
      <c r="D204" t="s">
        <v>220</v>
      </c>
      <c r="E204" s="8">
        <v>1</v>
      </c>
      <c r="F204" s="6">
        <v>52</v>
      </c>
      <c r="G204" s="6">
        <v>52</v>
      </c>
      <c r="H204" t="s">
        <v>15</v>
      </c>
      <c r="I204" t="s">
        <v>16</v>
      </c>
      <c r="J204" t="str">
        <f>TEXT(Table1[[#This Row],[Date]],"mmm")</f>
        <v>Jul</v>
      </c>
      <c r="K204">
        <f>YEAR(Table1[[#This Row],[Date]])</f>
        <v>2024</v>
      </c>
      <c r="L204" s="8">
        <f>MONTH(Table1[[#This Row],[Date]])</f>
        <v>7</v>
      </c>
    </row>
    <row r="205" spans="1:12" x14ac:dyDescent="0.3">
      <c r="A205" s="8">
        <v>10204</v>
      </c>
      <c r="B205" s="1">
        <v>45495</v>
      </c>
      <c r="C205" t="s">
        <v>25</v>
      </c>
      <c r="D205" t="s">
        <v>221</v>
      </c>
      <c r="E205" s="8">
        <v>1</v>
      </c>
      <c r="F205" s="6">
        <v>399.99</v>
      </c>
      <c r="G205" s="6">
        <v>399.99</v>
      </c>
      <c r="H205" t="s">
        <v>19</v>
      </c>
      <c r="I205" t="s">
        <v>12</v>
      </c>
      <c r="J205" t="str">
        <f>TEXT(Table1[[#This Row],[Date]],"mmm")</f>
        <v>Jul</v>
      </c>
      <c r="K205">
        <f>YEAR(Table1[[#This Row],[Date]])</f>
        <v>2024</v>
      </c>
      <c r="L205" s="8">
        <f>MONTH(Table1[[#This Row],[Date]])</f>
        <v>7</v>
      </c>
    </row>
    <row r="206" spans="1:12" x14ac:dyDescent="0.3">
      <c r="A206" s="8">
        <v>10205</v>
      </c>
      <c r="B206" s="1">
        <v>45496</v>
      </c>
      <c r="C206" t="s">
        <v>9</v>
      </c>
      <c r="D206" t="s">
        <v>222</v>
      </c>
      <c r="E206" s="8">
        <v>1</v>
      </c>
      <c r="F206" s="6">
        <v>299.99</v>
      </c>
      <c r="G206" s="6">
        <v>299.99</v>
      </c>
      <c r="H206" t="s">
        <v>11</v>
      </c>
      <c r="I206" t="s">
        <v>12</v>
      </c>
      <c r="J206" t="str">
        <f>TEXT(Table1[[#This Row],[Date]],"mmm")</f>
        <v>Jul</v>
      </c>
      <c r="K206">
        <f>YEAR(Table1[[#This Row],[Date]])</f>
        <v>2024</v>
      </c>
      <c r="L206" s="8">
        <f>MONTH(Table1[[#This Row],[Date]])</f>
        <v>7</v>
      </c>
    </row>
    <row r="207" spans="1:12" x14ac:dyDescent="0.3">
      <c r="A207" s="8">
        <v>10206</v>
      </c>
      <c r="B207" s="1">
        <v>45497</v>
      </c>
      <c r="C207" t="s">
        <v>13</v>
      </c>
      <c r="D207" t="s">
        <v>223</v>
      </c>
      <c r="E207" s="8">
        <v>1</v>
      </c>
      <c r="F207" s="6">
        <v>379.99</v>
      </c>
      <c r="G207" s="6">
        <v>379.99</v>
      </c>
      <c r="H207" t="s">
        <v>15</v>
      </c>
      <c r="I207" t="s">
        <v>16</v>
      </c>
      <c r="J207" t="str">
        <f>TEXT(Table1[[#This Row],[Date]],"mmm")</f>
        <v>Jul</v>
      </c>
      <c r="K207">
        <f>YEAR(Table1[[#This Row],[Date]])</f>
        <v>2024</v>
      </c>
      <c r="L207" s="8">
        <f>MONTH(Table1[[#This Row],[Date]])</f>
        <v>7</v>
      </c>
    </row>
    <row r="208" spans="1:12" x14ac:dyDescent="0.3">
      <c r="A208" s="8">
        <v>10207</v>
      </c>
      <c r="B208" s="1">
        <v>45498</v>
      </c>
      <c r="C208" t="s">
        <v>17</v>
      </c>
      <c r="D208" t="s">
        <v>224</v>
      </c>
      <c r="E208" s="8">
        <v>2</v>
      </c>
      <c r="F208" s="6">
        <v>98</v>
      </c>
      <c r="G208" s="6">
        <v>196</v>
      </c>
      <c r="H208" t="s">
        <v>19</v>
      </c>
      <c r="I208" t="s">
        <v>20</v>
      </c>
      <c r="J208" t="str">
        <f>TEXT(Table1[[#This Row],[Date]],"mmm")</f>
        <v>Jul</v>
      </c>
      <c r="K208">
        <f>YEAR(Table1[[#This Row],[Date]])</f>
        <v>2024</v>
      </c>
      <c r="L208" s="8">
        <f>MONTH(Table1[[#This Row],[Date]])</f>
        <v>7</v>
      </c>
    </row>
    <row r="209" spans="1:12" x14ac:dyDescent="0.3">
      <c r="A209" s="8">
        <v>10208</v>
      </c>
      <c r="B209" s="1">
        <v>45499</v>
      </c>
      <c r="C209" t="s">
        <v>21</v>
      </c>
      <c r="D209" t="s">
        <v>225</v>
      </c>
      <c r="E209" s="8">
        <v>3</v>
      </c>
      <c r="F209" s="6">
        <v>16.989999999999998</v>
      </c>
      <c r="G209" s="6">
        <v>50.97</v>
      </c>
      <c r="H209" t="s">
        <v>11</v>
      </c>
      <c r="I209" t="s">
        <v>12</v>
      </c>
      <c r="J209" t="str">
        <f>TEXT(Table1[[#This Row],[Date]],"mmm")</f>
        <v>Jul</v>
      </c>
      <c r="K209">
        <f>YEAR(Table1[[#This Row],[Date]])</f>
        <v>2024</v>
      </c>
      <c r="L209" s="8">
        <f>MONTH(Table1[[#This Row],[Date]])</f>
        <v>7</v>
      </c>
    </row>
    <row r="210" spans="1:12" x14ac:dyDescent="0.3">
      <c r="A210" s="8">
        <v>10209</v>
      </c>
      <c r="B210" s="1">
        <v>45500</v>
      </c>
      <c r="C210" t="s">
        <v>23</v>
      </c>
      <c r="D210" t="s">
        <v>226</v>
      </c>
      <c r="E210" s="8">
        <v>1</v>
      </c>
      <c r="F210" s="6">
        <v>79</v>
      </c>
      <c r="G210" s="6">
        <v>79</v>
      </c>
      <c r="H210" t="s">
        <v>15</v>
      </c>
      <c r="I210" t="s">
        <v>16</v>
      </c>
      <c r="J210" t="str">
        <f>TEXT(Table1[[#This Row],[Date]],"mmm")</f>
        <v>Jul</v>
      </c>
      <c r="K210">
        <f>YEAR(Table1[[#This Row],[Date]])</f>
        <v>2024</v>
      </c>
      <c r="L210" s="8">
        <f>MONTH(Table1[[#This Row],[Date]])</f>
        <v>7</v>
      </c>
    </row>
    <row r="211" spans="1:12" x14ac:dyDescent="0.3">
      <c r="A211" s="8">
        <v>10210</v>
      </c>
      <c r="B211" s="1">
        <v>45501</v>
      </c>
      <c r="C211" t="s">
        <v>25</v>
      </c>
      <c r="D211" t="s">
        <v>227</v>
      </c>
      <c r="E211" s="8">
        <v>1</v>
      </c>
      <c r="F211" s="6">
        <v>129</v>
      </c>
      <c r="G211" s="6">
        <v>129</v>
      </c>
      <c r="H211" t="s">
        <v>19</v>
      </c>
      <c r="I211" t="s">
        <v>12</v>
      </c>
      <c r="J211" t="str">
        <f>TEXT(Table1[[#This Row],[Date]],"mmm")</f>
        <v>Jul</v>
      </c>
      <c r="K211">
        <f>YEAR(Table1[[#This Row],[Date]])</f>
        <v>2024</v>
      </c>
      <c r="L211" s="8">
        <f>MONTH(Table1[[#This Row],[Date]])</f>
        <v>7</v>
      </c>
    </row>
    <row r="212" spans="1:12" x14ac:dyDescent="0.3">
      <c r="A212" s="8">
        <v>10211</v>
      </c>
      <c r="B212" s="1">
        <v>45502</v>
      </c>
      <c r="C212" t="s">
        <v>9</v>
      </c>
      <c r="D212" t="s">
        <v>228</v>
      </c>
      <c r="E212" s="8">
        <v>1</v>
      </c>
      <c r="F212" s="6">
        <v>749.99</v>
      </c>
      <c r="G212" s="6">
        <v>749.99</v>
      </c>
      <c r="H212" t="s">
        <v>11</v>
      </c>
      <c r="I212" t="s">
        <v>12</v>
      </c>
      <c r="J212" t="str">
        <f>TEXT(Table1[[#This Row],[Date]],"mmm")</f>
        <v>Jul</v>
      </c>
      <c r="K212">
        <f>YEAR(Table1[[#This Row],[Date]])</f>
        <v>2024</v>
      </c>
      <c r="L212" s="8">
        <f>MONTH(Table1[[#This Row],[Date]])</f>
        <v>7</v>
      </c>
    </row>
    <row r="213" spans="1:12" x14ac:dyDescent="0.3">
      <c r="A213" s="8">
        <v>10212</v>
      </c>
      <c r="B213" s="1">
        <v>45503</v>
      </c>
      <c r="C213" t="s">
        <v>13</v>
      </c>
      <c r="D213" t="s">
        <v>34</v>
      </c>
      <c r="E213" s="8">
        <v>2</v>
      </c>
      <c r="F213" s="6">
        <v>169.99</v>
      </c>
      <c r="G213" s="6">
        <v>339.98</v>
      </c>
      <c r="H213" t="s">
        <v>15</v>
      </c>
      <c r="I213" t="s">
        <v>16</v>
      </c>
      <c r="J213" t="str">
        <f>TEXT(Table1[[#This Row],[Date]],"mmm")</f>
        <v>Jul</v>
      </c>
      <c r="K213">
        <f>YEAR(Table1[[#This Row],[Date]])</f>
        <v>2024</v>
      </c>
      <c r="L213" s="8">
        <f>MONTH(Table1[[#This Row],[Date]])</f>
        <v>7</v>
      </c>
    </row>
    <row r="214" spans="1:12" x14ac:dyDescent="0.3">
      <c r="A214" s="8">
        <v>10213</v>
      </c>
      <c r="B214" s="1">
        <v>45504</v>
      </c>
      <c r="C214" t="s">
        <v>17</v>
      </c>
      <c r="D214" t="s">
        <v>229</v>
      </c>
      <c r="E214" s="8">
        <v>4</v>
      </c>
      <c r="F214" s="6">
        <v>9.9</v>
      </c>
      <c r="G214" s="6">
        <v>39.6</v>
      </c>
      <c r="H214" t="s">
        <v>19</v>
      </c>
      <c r="I214" t="s">
        <v>20</v>
      </c>
      <c r="J214" t="str">
        <f>TEXT(Table1[[#This Row],[Date]],"mmm")</f>
        <v>Jul</v>
      </c>
      <c r="K214">
        <f>YEAR(Table1[[#This Row],[Date]])</f>
        <v>2024</v>
      </c>
      <c r="L214" s="8">
        <f>MONTH(Table1[[#This Row],[Date]])</f>
        <v>7</v>
      </c>
    </row>
    <row r="215" spans="1:12" x14ac:dyDescent="0.3">
      <c r="A215" s="8">
        <v>10214</v>
      </c>
      <c r="B215" s="1">
        <v>45505</v>
      </c>
      <c r="C215" t="s">
        <v>21</v>
      </c>
      <c r="D215" t="s">
        <v>190</v>
      </c>
      <c r="E215" s="8">
        <v>3</v>
      </c>
      <c r="F215" s="6">
        <v>10.99</v>
      </c>
      <c r="G215" s="6">
        <v>32.97</v>
      </c>
      <c r="H215" t="s">
        <v>11</v>
      </c>
      <c r="I215" t="s">
        <v>12</v>
      </c>
      <c r="J215" t="str">
        <f>TEXT(Table1[[#This Row],[Date]],"mmm")</f>
        <v>Aug</v>
      </c>
      <c r="K215">
        <f>YEAR(Table1[[#This Row],[Date]])</f>
        <v>2024</v>
      </c>
      <c r="L215" s="8">
        <f>MONTH(Table1[[#This Row],[Date]])</f>
        <v>8</v>
      </c>
    </row>
    <row r="216" spans="1:12" x14ac:dyDescent="0.3">
      <c r="A216" s="8">
        <v>10215</v>
      </c>
      <c r="B216" s="1">
        <v>45506</v>
      </c>
      <c r="C216" t="s">
        <v>23</v>
      </c>
      <c r="D216" t="s">
        <v>230</v>
      </c>
      <c r="E216" s="8">
        <v>2</v>
      </c>
      <c r="F216" s="6">
        <v>29</v>
      </c>
      <c r="G216" s="6">
        <v>58</v>
      </c>
      <c r="H216" t="s">
        <v>15</v>
      </c>
      <c r="I216" t="s">
        <v>16</v>
      </c>
      <c r="J216" t="str">
        <f>TEXT(Table1[[#This Row],[Date]],"mmm")</f>
        <v>Aug</v>
      </c>
      <c r="K216">
        <f>YEAR(Table1[[#This Row],[Date]])</f>
        <v>2024</v>
      </c>
      <c r="L216" s="8">
        <f>MONTH(Table1[[#This Row],[Date]])</f>
        <v>8</v>
      </c>
    </row>
    <row r="217" spans="1:12" x14ac:dyDescent="0.3">
      <c r="A217" s="8">
        <v>10216</v>
      </c>
      <c r="B217" s="1">
        <v>45507</v>
      </c>
      <c r="C217" t="s">
        <v>25</v>
      </c>
      <c r="D217" t="s">
        <v>231</v>
      </c>
      <c r="E217" s="8">
        <v>1</v>
      </c>
      <c r="F217" s="6">
        <v>349.99</v>
      </c>
      <c r="G217" s="6">
        <v>349.99</v>
      </c>
      <c r="H217" t="s">
        <v>19</v>
      </c>
      <c r="I217" t="s">
        <v>12</v>
      </c>
      <c r="J217" t="str">
        <f>TEXT(Table1[[#This Row],[Date]],"mmm")</f>
        <v>Aug</v>
      </c>
      <c r="K217">
        <f>YEAR(Table1[[#This Row],[Date]])</f>
        <v>2024</v>
      </c>
      <c r="L217" s="8">
        <f>MONTH(Table1[[#This Row],[Date]])</f>
        <v>8</v>
      </c>
    </row>
    <row r="218" spans="1:12" x14ac:dyDescent="0.3">
      <c r="A218" s="8">
        <v>10217</v>
      </c>
      <c r="B218" s="1">
        <v>45508</v>
      </c>
      <c r="C218" t="s">
        <v>9</v>
      </c>
      <c r="D218" t="s">
        <v>232</v>
      </c>
      <c r="E218" s="8">
        <v>1</v>
      </c>
      <c r="F218" s="6">
        <v>2399</v>
      </c>
      <c r="G218" s="6">
        <v>2399</v>
      </c>
      <c r="H218" t="s">
        <v>11</v>
      </c>
      <c r="I218" t="s">
        <v>12</v>
      </c>
      <c r="J218" t="str">
        <f>TEXT(Table1[[#This Row],[Date]],"mmm")</f>
        <v>Aug</v>
      </c>
      <c r="K218">
        <f>YEAR(Table1[[#This Row],[Date]])</f>
        <v>2024</v>
      </c>
      <c r="L218" s="8">
        <f>MONTH(Table1[[#This Row],[Date]])</f>
        <v>8</v>
      </c>
    </row>
    <row r="219" spans="1:12" x14ac:dyDescent="0.3">
      <c r="A219" s="8">
        <v>10218</v>
      </c>
      <c r="B219" s="1">
        <v>45509</v>
      </c>
      <c r="C219" t="s">
        <v>13</v>
      </c>
      <c r="D219" t="s">
        <v>233</v>
      </c>
      <c r="E219" s="8">
        <v>1</v>
      </c>
      <c r="F219" s="6">
        <v>449.99</v>
      </c>
      <c r="G219" s="6">
        <v>449.99</v>
      </c>
      <c r="H219" t="s">
        <v>15</v>
      </c>
      <c r="I219" t="s">
        <v>16</v>
      </c>
      <c r="J219" t="str">
        <f>TEXT(Table1[[#This Row],[Date]],"mmm")</f>
        <v>Aug</v>
      </c>
      <c r="K219">
        <f>YEAR(Table1[[#This Row],[Date]])</f>
        <v>2024</v>
      </c>
      <c r="L219" s="8">
        <f>MONTH(Table1[[#This Row],[Date]])</f>
        <v>8</v>
      </c>
    </row>
    <row r="220" spans="1:12" x14ac:dyDescent="0.3">
      <c r="A220" s="8">
        <v>10219</v>
      </c>
      <c r="B220" s="1">
        <v>45510</v>
      </c>
      <c r="C220" t="s">
        <v>17</v>
      </c>
      <c r="D220" t="s">
        <v>234</v>
      </c>
      <c r="E220" s="8">
        <v>3</v>
      </c>
      <c r="F220" s="6">
        <v>49.99</v>
      </c>
      <c r="G220" s="6">
        <v>149.97</v>
      </c>
      <c r="H220" t="s">
        <v>19</v>
      </c>
      <c r="I220" t="s">
        <v>20</v>
      </c>
      <c r="J220" t="str">
        <f>TEXT(Table1[[#This Row],[Date]],"mmm")</f>
        <v>Aug</v>
      </c>
      <c r="K220">
        <f>YEAR(Table1[[#This Row],[Date]])</f>
        <v>2024</v>
      </c>
      <c r="L220" s="8">
        <f>MONTH(Table1[[#This Row],[Date]])</f>
        <v>8</v>
      </c>
    </row>
    <row r="221" spans="1:12" x14ac:dyDescent="0.3">
      <c r="A221" s="8">
        <v>10220</v>
      </c>
      <c r="B221" s="1">
        <v>45511</v>
      </c>
      <c r="C221" t="s">
        <v>21</v>
      </c>
      <c r="D221" t="s">
        <v>235</v>
      </c>
      <c r="E221" s="8">
        <v>2</v>
      </c>
      <c r="F221" s="6">
        <v>12.99</v>
      </c>
      <c r="G221" s="6">
        <v>25.98</v>
      </c>
      <c r="H221" t="s">
        <v>11</v>
      </c>
      <c r="I221" t="s">
        <v>12</v>
      </c>
      <c r="J221" t="str">
        <f>TEXT(Table1[[#This Row],[Date]],"mmm")</f>
        <v>Aug</v>
      </c>
      <c r="K221">
        <f>YEAR(Table1[[#This Row],[Date]])</f>
        <v>2024</v>
      </c>
      <c r="L221" s="8">
        <f>MONTH(Table1[[#This Row],[Date]])</f>
        <v>8</v>
      </c>
    </row>
    <row r="222" spans="1:12" x14ac:dyDescent="0.3">
      <c r="A222" s="8">
        <v>10221</v>
      </c>
      <c r="B222" s="1">
        <v>45512</v>
      </c>
      <c r="C222" t="s">
        <v>23</v>
      </c>
      <c r="D222" t="s">
        <v>236</v>
      </c>
      <c r="E222" s="8">
        <v>1</v>
      </c>
      <c r="F222" s="6">
        <v>27</v>
      </c>
      <c r="G222" s="6">
        <v>27</v>
      </c>
      <c r="H222" t="s">
        <v>15</v>
      </c>
      <c r="I222" t="s">
        <v>16</v>
      </c>
      <c r="J222" t="str">
        <f>TEXT(Table1[[#This Row],[Date]],"mmm")</f>
        <v>Aug</v>
      </c>
      <c r="K222">
        <f>YEAR(Table1[[#This Row],[Date]])</f>
        <v>2024</v>
      </c>
      <c r="L222" s="8">
        <f>MONTH(Table1[[#This Row],[Date]])</f>
        <v>8</v>
      </c>
    </row>
    <row r="223" spans="1:12" x14ac:dyDescent="0.3">
      <c r="A223" s="8">
        <v>10222</v>
      </c>
      <c r="B223" s="1">
        <v>45513</v>
      </c>
      <c r="C223" t="s">
        <v>25</v>
      </c>
      <c r="D223" t="s">
        <v>39</v>
      </c>
      <c r="E223" s="8">
        <v>1</v>
      </c>
      <c r="F223" s="6">
        <v>599.99</v>
      </c>
      <c r="G223" s="6">
        <v>599.99</v>
      </c>
      <c r="H223" t="s">
        <v>19</v>
      </c>
      <c r="I223" t="s">
        <v>12</v>
      </c>
      <c r="J223" t="str">
        <f>TEXT(Table1[[#This Row],[Date]],"mmm")</f>
        <v>Aug</v>
      </c>
      <c r="K223">
        <f>YEAR(Table1[[#This Row],[Date]])</f>
        <v>2024</v>
      </c>
      <c r="L223" s="8">
        <f>MONTH(Table1[[#This Row],[Date]])</f>
        <v>8</v>
      </c>
    </row>
    <row r="224" spans="1:12" x14ac:dyDescent="0.3">
      <c r="A224" s="8">
        <v>10223</v>
      </c>
      <c r="B224" s="1">
        <v>45514</v>
      </c>
      <c r="C224" t="s">
        <v>9</v>
      </c>
      <c r="D224" t="s">
        <v>237</v>
      </c>
      <c r="E224" s="8">
        <v>4</v>
      </c>
      <c r="F224" s="6">
        <v>49.99</v>
      </c>
      <c r="G224" s="6">
        <v>199.96</v>
      </c>
      <c r="H224" t="s">
        <v>11</v>
      </c>
      <c r="I224" t="s">
        <v>12</v>
      </c>
      <c r="J224" t="str">
        <f>TEXT(Table1[[#This Row],[Date]],"mmm")</f>
        <v>Aug</v>
      </c>
      <c r="K224">
        <f>YEAR(Table1[[#This Row],[Date]])</f>
        <v>2024</v>
      </c>
      <c r="L224" s="8">
        <f>MONTH(Table1[[#This Row],[Date]])</f>
        <v>8</v>
      </c>
    </row>
    <row r="225" spans="1:12" x14ac:dyDescent="0.3">
      <c r="A225" s="8">
        <v>10224</v>
      </c>
      <c r="B225" s="1">
        <v>45515</v>
      </c>
      <c r="C225" t="s">
        <v>13</v>
      </c>
      <c r="D225" t="s">
        <v>238</v>
      </c>
      <c r="E225" s="8">
        <v>2</v>
      </c>
      <c r="F225" s="6">
        <v>229.99</v>
      </c>
      <c r="G225" s="6">
        <v>459.98</v>
      </c>
      <c r="H225" t="s">
        <v>15</v>
      </c>
      <c r="I225" t="s">
        <v>16</v>
      </c>
      <c r="J225" t="str">
        <f>TEXT(Table1[[#This Row],[Date]],"mmm")</f>
        <v>Aug</v>
      </c>
      <c r="K225">
        <f>YEAR(Table1[[#This Row],[Date]])</f>
        <v>2024</v>
      </c>
      <c r="L225" s="8">
        <f>MONTH(Table1[[#This Row],[Date]])</f>
        <v>8</v>
      </c>
    </row>
    <row r="226" spans="1:12" x14ac:dyDescent="0.3">
      <c r="A226" s="8">
        <v>10225</v>
      </c>
      <c r="B226" s="1">
        <v>45516</v>
      </c>
      <c r="C226" t="s">
        <v>17</v>
      </c>
      <c r="D226" t="s">
        <v>239</v>
      </c>
      <c r="E226" s="8">
        <v>2</v>
      </c>
      <c r="F226" s="6">
        <v>44.99</v>
      </c>
      <c r="G226" s="6">
        <v>89.98</v>
      </c>
      <c r="H226" t="s">
        <v>19</v>
      </c>
      <c r="I226" t="s">
        <v>20</v>
      </c>
      <c r="J226" t="str">
        <f>TEXT(Table1[[#This Row],[Date]],"mmm")</f>
        <v>Aug</v>
      </c>
      <c r="K226">
        <f>YEAR(Table1[[#This Row],[Date]])</f>
        <v>2024</v>
      </c>
      <c r="L226" s="8">
        <f>MONTH(Table1[[#This Row],[Date]])</f>
        <v>8</v>
      </c>
    </row>
    <row r="227" spans="1:12" x14ac:dyDescent="0.3">
      <c r="A227" s="8">
        <v>10226</v>
      </c>
      <c r="B227" s="1">
        <v>45517</v>
      </c>
      <c r="C227" t="s">
        <v>21</v>
      </c>
      <c r="D227" t="s">
        <v>72</v>
      </c>
      <c r="E227" s="8">
        <v>3</v>
      </c>
      <c r="F227" s="6">
        <v>26.99</v>
      </c>
      <c r="G227" s="6">
        <v>80.97</v>
      </c>
      <c r="H227" t="s">
        <v>11</v>
      </c>
      <c r="I227" t="s">
        <v>12</v>
      </c>
      <c r="J227" t="str">
        <f>TEXT(Table1[[#This Row],[Date]],"mmm")</f>
        <v>Aug</v>
      </c>
      <c r="K227">
        <f>YEAR(Table1[[#This Row],[Date]])</f>
        <v>2024</v>
      </c>
      <c r="L227" s="8">
        <f>MONTH(Table1[[#This Row],[Date]])</f>
        <v>8</v>
      </c>
    </row>
    <row r="228" spans="1:12" x14ac:dyDescent="0.3">
      <c r="A228" s="8">
        <v>10227</v>
      </c>
      <c r="B228" s="1">
        <v>45518</v>
      </c>
      <c r="C228" t="s">
        <v>23</v>
      </c>
      <c r="D228" t="s">
        <v>240</v>
      </c>
      <c r="E228" s="8">
        <v>1</v>
      </c>
      <c r="F228" s="6">
        <v>6.7</v>
      </c>
      <c r="G228" s="6">
        <v>6.7</v>
      </c>
      <c r="H228" t="s">
        <v>15</v>
      </c>
      <c r="I228" t="s">
        <v>16</v>
      </c>
      <c r="J228" t="str">
        <f>TEXT(Table1[[#This Row],[Date]],"mmm")</f>
        <v>Aug</v>
      </c>
      <c r="K228">
        <f>YEAR(Table1[[#This Row],[Date]])</f>
        <v>2024</v>
      </c>
      <c r="L228" s="8">
        <f>MONTH(Table1[[#This Row],[Date]])</f>
        <v>8</v>
      </c>
    </row>
    <row r="229" spans="1:12" x14ac:dyDescent="0.3">
      <c r="A229" s="8">
        <v>10228</v>
      </c>
      <c r="B229" s="1">
        <v>45519</v>
      </c>
      <c r="C229" t="s">
        <v>25</v>
      </c>
      <c r="D229" t="s">
        <v>241</v>
      </c>
      <c r="E229" s="8">
        <v>2</v>
      </c>
      <c r="F229" s="6">
        <v>149.94999999999999</v>
      </c>
      <c r="G229" s="6">
        <v>299.89999999999998</v>
      </c>
      <c r="H229" t="s">
        <v>19</v>
      </c>
      <c r="I229" t="s">
        <v>12</v>
      </c>
      <c r="J229" t="str">
        <f>TEXT(Table1[[#This Row],[Date]],"mmm")</f>
        <v>Aug</v>
      </c>
      <c r="K229">
        <f>YEAR(Table1[[#This Row],[Date]])</f>
        <v>2024</v>
      </c>
      <c r="L229" s="8">
        <f>MONTH(Table1[[#This Row],[Date]])</f>
        <v>8</v>
      </c>
    </row>
    <row r="230" spans="1:12" x14ac:dyDescent="0.3">
      <c r="A230" s="8">
        <v>10229</v>
      </c>
      <c r="B230" s="1">
        <v>45520</v>
      </c>
      <c r="C230" t="s">
        <v>9</v>
      </c>
      <c r="D230" t="s">
        <v>242</v>
      </c>
      <c r="E230" s="8">
        <v>1</v>
      </c>
      <c r="F230" s="6">
        <v>169</v>
      </c>
      <c r="G230" s="6">
        <v>169</v>
      </c>
      <c r="H230" t="s">
        <v>11</v>
      </c>
      <c r="I230" t="s">
        <v>12</v>
      </c>
      <c r="J230" t="str">
        <f>TEXT(Table1[[#This Row],[Date]],"mmm")</f>
        <v>Aug</v>
      </c>
      <c r="K230">
        <f>YEAR(Table1[[#This Row],[Date]])</f>
        <v>2024</v>
      </c>
      <c r="L230" s="8">
        <f>MONTH(Table1[[#This Row],[Date]])</f>
        <v>8</v>
      </c>
    </row>
    <row r="231" spans="1:12" x14ac:dyDescent="0.3">
      <c r="A231" s="8">
        <v>10230</v>
      </c>
      <c r="B231" s="1">
        <v>45521</v>
      </c>
      <c r="C231" t="s">
        <v>13</v>
      </c>
      <c r="D231" t="s">
        <v>243</v>
      </c>
      <c r="E231" s="8">
        <v>1</v>
      </c>
      <c r="F231" s="6">
        <v>599</v>
      </c>
      <c r="G231" s="6">
        <v>599</v>
      </c>
      <c r="H231" t="s">
        <v>15</v>
      </c>
      <c r="I231" t="s">
        <v>16</v>
      </c>
      <c r="J231" t="str">
        <f>TEXT(Table1[[#This Row],[Date]],"mmm")</f>
        <v>Aug</v>
      </c>
      <c r="K231">
        <f>YEAR(Table1[[#This Row],[Date]])</f>
        <v>2024</v>
      </c>
      <c r="L231" s="8">
        <f>MONTH(Table1[[#This Row],[Date]])</f>
        <v>8</v>
      </c>
    </row>
    <row r="232" spans="1:12" x14ac:dyDescent="0.3">
      <c r="A232" s="8">
        <v>10231</v>
      </c>
      <c r="B232" s="1">
        <v>45522</v>
      </c>
      <c r="C232" t="s">
        <v>17</v>
      </c>
      <c r="D232" t="s">
        <v>244</v>
      </c>
      <c r="E232" s="8">
        <v>4</v>
      </c>
      <c r="F232" s="6">
        <v>64.989999999999995</v>
      </c>
      <c r="G232" s="6">
        <v>259.95999999999998</v>
      </c>
      <c r="H232" t="s">
        <v>19</v>
      </c>
      <c r="I232" t="s">
        <v>20</v>
      </c>
      <c r="J232" t="str">
        <f>TEXT(Table1[[#This Row],[Date]],"mmm")</f>
        <v>Aug</v>
      </c>
      <c r="K232">
        <f>YEAR(Table1[[#This Row],[Date]])</f>
        <v>2024</v>
      </c>
      <c r="L232" s="8">
        <f>MONTH(Table1[[#This Row],[Date]])</f>
        <v>8</v>
      </c>
    </row>
    <row r="233" spans="1:12" x14ac:dyDescent="0.3">
      <c r="A233" s="8">
        <v>10232</v>
      </c>
      <c r="B233" s="1">
        <v>45523</v>
      </c>
      <c r="C233" t="s">
        <v>21</v>
      </c>
      <c r="D233" t="s">
        <v>30</v>
      </c>
      <c r="E233" s="8">
        <v>2</v>
      </c>
      <c r="F233" s="6">
        <v>9.99</v>
      </c>
      <c r="G233" s="6">
        <v>19.98</v>
      </c>
      <c r="H233" t="s">
        <v>11</v>
      </c>
      <c r="I233" t="s">
        <v>12</v>
      </c>
      <c r="J233" t="str">
        <f>TEXT(Table1[[#This Row],[Date]],"mmm")</f>
        <v>Aug</v>
      </c>
      <c r="K233">
        <f>YEAR(Table1[[#This Row],[Date]])</f>
        <v>2024</v>
      </c>
      <c r="L233" s="8">
        <f>MONTH(Table1[[#This Row],[Date]])</f>
        <v>8</v>
      </c>
    </row>
    <row r="234" spans="1:12" x14ac:dyDescent="0.3">
      <c r="A234" s="8">
        <v>10233</v>
      </c>
      <c r="B234" s="1">
        <v>45524</v>
      </c>
      <c r="C234" t="s">
        <v>23</v>
      </c>
      <c r="D234" t="s">
        <v>245</v>
      </c>
      <c r="E234" s="8">
        <v>1</v>
      </c>
      <c r="F234" s="6">
        <v>24</v>
      </c>
      <c r="G234" s="6">
        <v>24</v>
      </c>
      <c r="H234" t="s">
        <v>15</v>
      </c>
      <c r="I234" t="s">
        <v>16</v>
      </c>
      <c r="J234" t="str">
        <f>TEXT(Table1[[#This Row],[Date]],"mmm")</f>
        <v>Aug</v>
      </c>
      <c r="K234">
        <f>YEAR(Table1[[#This Row],[Date]])</f>
        <v>2024</v>
      </c>
      <c r="L234" s="8">
        <f>MONTH(Table1[[#This Row],[Date]])</f>
        <v>8</v>
      </c>
    </row>
    <row r="235" spans="1:12" x14ac:dyDescent="0.3">
      <c r="A235" s="8">
        <v>10234</v>
      </c>
      <c r="B235" s="1">
        <v>45525</v>
      </c>
      <c r="C235" t="s">
        <v>25</v>
      </c>
      <c r="D235" t="s">
        <v>246</v>
      </c>
      <c r="E235" s="8">
        <v>3</v>
      </c>
      <c r="F235" s="6">
        <v>32.950000000000003</v>
      </c>
      <c r="G235" s="6">
        <v>98.85</v>
      </c>
      <c r="H235" t="s">
        <v>19</v>
      </c>
      <c r="I235" t="s">
        <v>12</v>
      </c>
      <c r="J235" t="str">
        <f>TEXT(Table1[[#This Row],[Date]],"mmm")</f>
        <v>Aug</v>
      </c>
      <c r="K235">
        <f>YEAR(Table1[[#This Row],[Date]])</f>
        <v>2024</v>
      </c>
      <c r="L235" s="8">
        <f>MONTH(Table1[[#This Row],[Date]])</f>
        <v>8</v>
      </c>
    </row>
    <row r="236" spans="1:12" x14ac:dyDescent="0.3">
      <c r="A236" s="8">
        <v>10235</v>
      </c>
      <c r="B236" s="1">
        <v>45526</v>
      </c>
      <c r="C236" t="s">
        <v>9</v>
      </c>
      <c r="D236" t="s">
        <v>247</v>
      </c>
      <c r="E236" s="8">
        <v>1</v>
      </c>
      <c r="F236" s="6">
        <v>299</v>
      </c>
      <c r="G236" s="6">
        <v>299</v>
      </c>
      <c r="H236" t="s">
        <v>11</v>
      </c>
      <c r="I236" t="s">
        <v>12</v>
      </c>
      <c r="J236" t="str">
        <f>TEXT(Table1[[#This Row],[Date]],"mmm")</f>
        <v>Aug</v>
      </c>
      <c r="K236">
        <f>YEAR(Table1[[#This Row],[Date]])</f>
        <v>2024</v>
      </c>
      <c r="L236" s="8">
        <f>MONTH(Table1[[#This Row],[Date]])</f>
        <v>8</v>
      </c>
    </row>
    <row r="237" spans="1:12" x14ac:dyDescent="0.3">
      <c r="A237" s="8">
        <v>10236</v>
      </c>
      <c r="B237" s="1">
        <v>45527</v>
      </c>
      <c r="C237" t="s">
        <v>13</v>
      </c>
      <c r="D237" t="s">
        <v>248</v>
      </c>
      <c r="E237" s="8">
        <v>1</v>
      </c>
      <c r="F237" s="6">
        <v>159.99</v>
      </c>
      <c r="G237" s="6">
        <v>159.99</v>
      </c>
      <c r="H237" t="s">
        <v>15</v>
      </c>
      <c r="I237" t="s">
        <v>16</v>
      </c>
      <c r="J237" t="str">
        <f>TEXT(Table1[[#This Row],[Date]],"mmm")</f>
        <v>Aug</v>
      </c>
      <c r="K237">
        <f>YEAR(Table1[[#This Row],[Date]])</f>
        <v>2024</v>
      </c>
      <c r="L237" s="8">
        <f>MONTH(Table1[[#This Row],[Date]])</f>
        <v>8</v>
      </c>
    </row>
    <row r="238" spans="1:12" x14ac:dyDescent="0.3">
      <c r="A238" s="8">
        <v>10237</v>
      </c>
      <c r="B238" s="1">
        <v>45528</v>
      </c>
      <c r="C238" t="s">
        <v>17</v>
      </c>
      <c r="D238" t="s">
        <v>249</v>
      </c>
      <c r="E238" s="8">
        <v>3</v>
      </c>
      <c r="F238" s="6">
        <v>90</v>
      </c>
      <c r="G238" s="6">
        <v>270</v>
      </c>
      <c r="H238" t="s">
        <v>19</v>
      </c>
      <c r="I238" t="s">
        <v>20</v>
      </c>
      <c r="J238" t="str">
        <f>TEXT(Table1[[#This Row],[Date]],"mmm")</f>
        <v>Aug</v>
      </c>
      <c r="K238">
        <f>YEAR(Table1[[#This Row],[Date]])</f>
        <v>2024</v>
      </c>
      <c r="L238" s="8">
        <f>MONTH(Table1[[#This Row],[Date]])</f>
        <v>8</v>
      </c>
    </row>
    <row r="239" spans="1:12" x14ac:dyDescent="0.3">
      <c r="A239" s="8">
        <v>10238</v>
      </c>
      <c r="B239" s="1">
        <v>45529</v>
      </c>
      <c r="C239" t="s">
        <v>21</v>
      </c>
      <c r="D239" t="s">
        <v>250</v>
      </c>
      <c r="E239" s="8">
        <v>3</v>
      </c>
      <c r="F239" s="6">
        <v>10.99</v>
      </c>
      <c r="G239" s="6">
        <v>32.97</v>
      </c>
      <c r="H239" t="s">
        <v>11</v>
      </c>
      <c r="I239" t="s">
        <v>12</v>
      </c>
      <c r="J239" t="str">
        <f>TEXT(Table1[[#This Row],[Date]],"mmm")</f>
        <v>Aug</v>
      </c>
      <c r="K239">
        <f>YEAR(Table1[[#This Row],[Date]])</f>
        <v>2024</v>
      </c>
      <c r="L239" s="8">
        <f>MONTH(Table1[[#This Row],[Date]])</f>
        <v>8</v>
      </c>
    </row>
    <row r="240" spans="1:12" x14ac:dyDescent="0.3">
      <c r="A240" s="8">
        <v>10239</v>
      </c>
      <c r="B240" s="1">
        <v>45530</v>
      </c>
      <c r="C240" t="s">
        <v>23</v>
      </c>
      <c r="D240" t="s">
        <v>251</v>
      </c>
      <c r="E240" s="8">
        <v>1</v>
      </c>
      <c r="F240" s="6">
        <v>55</v>
      </c>
      <c r="G240" s="6">
        <v>55</v>
      </c>
      <c r="H240" t="s">
        <v>15</v>
      </c>
      <c r="I240" t="s">
        <v>16</v>
      </c>
      <c r="J240" t="str">
        <f>TEXT(Table1[[#This Row],[Date]],"mmm")</f>
        <v>Aug</v>
      </c>
      <c r="K240">
        <f>YEAR(Table1[[#This Row],[Date]])</f>
        <v>2024</v>
      </c>
      <c r="L240" s="8">
        <f>MONTH(Table1[[#This Row],[Date]])</f>
        <v>8</v>
      </c>
    </row>
    <row r="241" spans="1:12" x14ac:dyDescent="0.3">
      <c r="A241" s="8">
        <v>10240</v>
      </c>
      <c r="B241" s="1">
        <v>45531</v>
      </c>
      <c r="C241" t="s">
        <v>25</v>
      </c>
      <c r="D241" t="s">
        <v>252</v>
      </c>
      <c r="E241" s="8">
        <v>2</v>
      </c>
      <c r="F241" s="6">
        <v>29.99</v>
      </c>
      <c r="G241" s="6">
        <v>59.98</v>
      </c>
      <c r="H241" t="s">
        <v>19</v>
      </c>
      <c r="I241" t="s">
        <v>12</v>
      </c>
      <c r="J241" t="str">
        <f>TEXT(Table1[[#This Row],[Date]],"mmm")</f>
        <v>Aug</v>
      </c>
      <c r="K241">
        <f>YEAR(Table1[[#This Row],[Date]])</f>
        <v>2024</v>
      </c>
      <c r="L241" s="8">
        <f>MONTH(Table1[[#This Row],[Date]])</f>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5784D-2A79-4B36-84E7-FD29AD6932D1}">
  <dimension ref="A2:K248"/>
  <sheetViews>
    <sheetView zoomScale="69" workbookViewId="0">
      <selection activeCell="B248" sqref="B248"/>
    </sheetView>
  </sheetViews>
  <sheetFormatPr defaultRowHeight="14.4" x14ac:dyDescent="0.3"/>
  <cols>
    <col min="1" max="1" width="16.33203125" style="8" bestFit="1" customWidth="1"/>
    <col min="2" max="2" width="16.5546875" style="8" bestFit="1" customWidth="1"/>
    <col min="3" max="3" width="20.5546875" style="6" bestFit="1" customWidth="1"/>
    <col min="4" max="4" width="16" bestFit="1" customWidth="1"/>
    <col min="6" max="6" width="13.77734375" bestFit="1" customWidth="1"/>
    <col min="7" max="7" width="20.5546875" bestFit="1" customWidth="1"/>
    <col min="8" max="8" width="12.88671875" bestFit="1" customWidth="1"/>
    <col min="9" max="9" width="19.6640625" bestFit="1" customWidth="1"/>
    <col min="10" max="10" width="35.5546875" bestFit="1" customWidth="1"/>
    <col min="11" max="11" width="20.5546875" bestFit="1" customWidth="1"/>
  </cols>
  <sheetData>
    <row r="2" spans="1:11" x14ac:dyDescent="0.3">
      <c r="A2" s="7"/>
      <c r="B2" s="7"/>
      <c r="C2" s="5"/>
      <c r="F2" s="12" t="s">
        <v>268</v>
      </c>
      <c r="G2" s="12"/>
      <c r="J2" s="12" t="s">
        <v>270</v>
      </c>
      <c r="K2" s="12"/>
    </row>
    <row r="3" spans="1:11" x14ac:dyDescent="0.3">
      <c r="A3" s="9" t="s">
        <v>271</v>
      </c>
      <c r="B3" s="8" t="s">
        <v>257</v>
      </c>
      <c r="C3" s="6" t="s">
        <v>256</v>
      </c>
      <c r="F3" s="2" t="s">
        <v>7</v>
      </c>
      <c r="G3" t="s">
        <v>256</v>
      </c>
      <c r="J3" s="2" t="s">
        <v>3</v>
      </c>
      <c r="K3" t="s">
        <v>256</v>
      </c>
    </row>
    <row r="4" spans="1:11" x14ac:dyDescent="0.3">
      <c r="A4" s="10">
        <v>10001</v>
      </c>
      <c r="B4" s="8">
        <v>2</v>
      </c>
      <c r="C4" s="6">
        <v>1999.98</v>
      </c>
      <c r="F4" s="3" t="s">
        <v>19</v>
      </c>
      <c r="G4" s="6">
        <v>22455.449999999997</v>
      </c>
      <c r="J4" s="3" t="s">
        <v>123</v>
      </c>
      <c r="K4" s="6">
        <v>3899.99</v>
      </c>
    </row>
    <row r="5" spans="1:11" x14ac:dyDescent="0.3">
      <c r="A5" s="10">
        <v>10002</v>
      </c>
      <c r="B5" s="8">
        <v>1</v>
      </c>
      <c r="C5" s="6">
        <v>499.99</v>
      </c>
      <c r="F5" s="3" t="s">
        <v>15</v>
      </c>
      <c r="G5" s="6">
        <v>21268.060000000005</v>
      </c>
      <c r="J5" s="3" t="s">
        <v>106</v>
      </c>
      <c r="K5" s="6">
        <v>2599.98</v>
      </c>
    </row>
    <row r="6" spans="1:11" x14ac:dyDescent="0.3">
      <c r="A6" s="10">
        <v>10003</v>
      </c>
      <c r="B6" s="8">
        <v>3</v>
      </c>
      <c r="C6" s="6">
        <v>209.97</v>
      </c>
      <c r="F6" s="3" t="s">
        <v>11</v>
      </c>
      <c r="G6" s="6">
        <v>36844.340000000018</v>
      </c>
      <c r="J6" s="3" t="s">
        <v>27</v>
      </c>
      <c r="K6" s="6">
        <v>2499.9899999999998</v>
      </c>
    </row>
    <row r="7" spans="1:11" x14ac:dyDescent="0.3">
      <c r="A7" s="10">
        <v>10004</v>
      </c>
      <c r="B7" s="8">
        <v>4</v>
      </c>
      <c r="C7" s="6">
        <v>63.96</v>
      </c>
      <c r="F7" s="3" t="s">
        <v>258</v>
      </c>
      <c r="G7" s="6">
        <v>80567.85000000002</v>
      </c>
      <c r="J7" s="3" t="s">
        <v>232</v>
      </c>
      <c r="K7" s="6">
        <v>2399</v>
      </c>
    </row>
    <row r="8" spans="1:11" x14ac:dyDescent="0.3">
      <c r="A8" s="10">
        <v>10005</v>
      </c>
      <c r="B8" s="8">
        <v>1</v>
      </c>
      <c r="C8" s="6">
        <v>89.99</v>
      </c>
      <c r="J8" s="3" t="s">
        <v>10</v>
      </c>
      <c r="K8" s="6">
        <v>1999.98</v>
      </c>
    </row>
    <row r="9" spans="1:11" x14ac:dyDescent="0.3">
      <c r="A9" s="10">
        <v>10006</v>
      </c>
      <c r="B9" s="8">
        <v>5</v>
      </c>
      <c r="C9" s="6">
        <v>149.94999999999999</v>
      </c>
      <c r="F9" s="12" t="s">
        <v>267</v>
      </c>
      <c r="G9" s="12"/>
      <c r="J9" s="3" t="s">
        <v>56</v>
      </c>
      <c r="K9" s="6">
        <v>1895</v>
      </c>
    </row>
    <row r="10" spans="1:11" x14ac:dyDescent="0.3">
      <c r="A10" s="10">
        <v>10007</v>
      </c>
      <c r="B10" s="8">
        <v>1</v>
      </c>
      <c r="C10" s="6">
        <v>2499.9899999999998</v>
      </c>
      <c r="F10" s="2" t="s">
        <v>272</v>
      </c>
      <c r="G10" t="s">
        <v>256</v>
      </c>
      <c r="J10" s="3" t="s">
        <v>93</v>
      </c>
      <c r="K10" s="6">
        <v>1599.99</v>
      </c>
    </row>
    <row r="11" spans="1:11" x14ac:dyDescent="0.3">
      <c r="A11" s="10">
        <v>10008</v>
      </c>
      <c r="B11" s="8">
        <v>2</v>
      </c>
      <c r="C11" s="6">
        <v>1199.98</v>
      </c>
      <c r="F11" s="3" t="s">
        <v>23</v>
      </c>
      <c r="G11" s="6">
        <v>2621.8999999999996</v>
      </c>
      <c r="J11" s="3" t="s">
        <v>58</v>
      </c>
      <c r="K11" s="6">
        <v>1599.98</v>
      </c>
    </row>
    <row r="12" spans="1:11" x14ac:dyDescent="0.3">
      <c r="A12" s="10">
        <v>10009</v>
      </c>
      <c r="B12" s="8">
        <v>6</v>
      </c>
      <c r="C12" s="6">
        <v>539.94000000000005</v>
      </c>
      <c r="F12" s="3" t="s">
        <v>21</v>
      </c>
      <c r="G12" s="6">
        <v>1861.9300000000007</v>
      </c>
      <c r="J12" s="3" t="s">
        <v>39</v>
      </c>
      <c r="K12" s="6">
        <v>1599.97</v>
      </c>
    </row>
    <row r="13" spans="1:11" x14ac:dyDescent="0.3">
      <c r="A13" s="10">
        <v>10010</v>
      </c>
      <c r="B13" s="8">
        <v>2</v>
      </c>
      <c r="C13" s="6">
        <v>51.98</v>
      </c>
      <c r="F13" s="3" t="s">
        <v>17</v>
      </c>
      <c r="G13" s="6">
        <v>8128.9300000000012</v>
      </c>
      <c r="J13" s="3" t="s">
        <v>158</v>
      </c>
      <c r="K13" s="6">
        <v>1499.99</v>
      </c>
    </row>
    <row r="14" spans="1:11" x14ac:dyDescent="0.3">
      <c r="A14" s="10">
        <v>10011</v>
      </c>
      <c r="B14" s="8">
        <v>1</v>
      </c>
      <c r="C14" s="6">
        <v>129.99</v>
      </c>
      <c r="F14" s="3" t="s">
        <v>9</v>
      </c>
      <c r="G14" s="6">
        <v>34982.410000000011</v>
      </c>
      <c r="J14" s="3" t="s">
        <v>258</v>
      </c>
      <c r="K14" s="6">
        <v>21593.870000000003</v>
      </c>
    </row>
    <row r="15" spans="1:11" x14ac:dyDescent="0.3">
      <c r="A15" s="10">
        <v>10012</v>
      </c>
      <c r="B15" s="8">
        <v>3</v>
      </c>
      <c r="C15" s="6">
        <v>599.97</v>
      </c>
      <c r="F15" s="3" t="s">
        <v>13</v>
      </c>
      <c r="G15" s="6">
        <v>18646.16</v>
      </c>
    </row>
    <row r="16" spans="1:11" x14ac:dyDescent="0.3">
      <c r="A16" s="10">
        <v>10013</v>
      </c>
      <c r="B16" s="8">
        <v>2</v>
      </c>
      <c r="C16" s="6">
        <v>1499.98</v>
      </c>
      <c r="F16" s="3" t="s">
        <v>25</v>
      </c>
      <c r="G16" s="6">
        <v>14326.519999999997</v>
      </c>
    </row>
    <row r="17" spans="1:7" x14ac:dyDescent="0.3">
      <c r="A17" s="10">
        <v>10014</v>
      </c>
      <c r="B17" s="8">
        <v>1</v>
      </c>
      <c r="C17" s="6">
        <v>189.99</v>
      </c>
      <c r="F17" s="3" t="s">
        <v>258</v>
      </c>
      <c r="G17" s="6">
        <v>80567.850000000006</v>
      </c>
    </row>
    <row r="18" spans="1:7" x14ac:dyDescent="0.3">
      <c r="A18" s="10">
        <v>10015</v>
      </c>
      <c r="B18" s="8">
        <v>2</v>
      </c>
      <c r="C18" s="6">
        <v>499.98</v>
      </c>
    </row>
    <row r="19" spans="1:7" x14ac:dyDescent="0.3">
      <c r="A19" s="10">
        <v>10016</v>
      </c>
      <c r="B19" s="8">
        <v>3</v>
      </c>
      <c r="C19" s="6">
        <v>107.97</v>
      </c>
      <c r="F19" s="12" t="s">
        <v>8</v>
      </c>
      <c r="G19" s="12"/>
    </row>
    <row r="20" spans="1:7" x14ac:dyDescent="0.3">
      <c r="A20" s="10">
        <v>10017</v>
      </c>
      <c r="B20" s="8">
        <v>1</v>
      </c>
      <c r="C20" s="6">
        <v>399.99</v>
      </c>
      <c r="F20" s="2" t="s">
        <v>8</v>
      </c>
      <c r="G20" t="s">
        <v>256</v>
      </c>
    </row>
    <row r="21" spans="1:7" x14ac:dyDescent="0.3">
      <c r="A21" s="10">
        <v>10018</v>
      </c>
      <c r="B21" s="8">
        <v>4</v>
      </c>
      <c r="C21" s="6">
        <v>479.96</v>
      </c>
      <c r="F21" s="3" t="s">
        <v>12</v>
      </c>
      <c r="G21" s="6">
        <v>51170.860000000015</v>
      </c>
    </row>
    <row r="22" spans="1:7" x14ac:dyDescent="0.3">
      <c r="A22" s="10">
        <v>10019</v>
      </c>
      <c r="B22" s="8">
        <v>2</v>
      </c>
      <c r="C22" s="6">
        <v>999.98</v>
      </c>
      <c r="F22" s="3" t="s">
        <v>20</v>
      </c>
      <c r="G22" s="6">
        <v>8128.9300000000012</v>
      </c>
    </row>
    <row r="23" spans="1:7" x14ac:dyDescent="0.3">
      <c r="A23" s="10">
        <v>10020</v>
      </c>
      <c r="B23" s="8">
        <v>1</v>
      </c>
      <c r="C23" s="6">
        <v>99.99</v>
      </c>
      <c r="F23" s="3" t="s">
        <v>16</v>
      </c>
      <c r="G23" s="6">
        <v>21268.060000000005</v>
      </c>
    </row>
    <row r="24" spans="1:7" x14ac:dyDescent="0.3">
      <c r="A24" s="10">
        <v>10021</v>
      </c>
      <c r="B24" s="8">
        <v>3</v>
      </c>
      <c r="C24" s="6">
        <v>179.97</v>
      </c>
      <c r="F24" s="3" t="s">
        <v>258</v>
      </c>
      <c r="G24" s="6">
        <v>80567.85000000002</v>
      </c>
    </row>
    <row r="25" spans="1:7" x14ac:dyDescent="0.3">
      <c r="A25" s="10">
        <v>10022</v>
      </c>
      <c r="B25" s="8">
        <v>2</v>
      </c>
      <c r="C25" s="6">
        <v>45.98</v>
      </c>
    </row>
    <row r="26" spans="1:7" x14ac:dyDescent="0.3">
      <c r="A26" s="10">
        <v>10023</v>
      </c>
      <c r="B26" s="8">
        <v>1</v>
      </c>
      <c r="C26" s="6">
        <v>49.99</v>
      </c>
    </row>
    <row r="27" spans="1:7" x14ac:dyDescent="0.3">
      <c r="A27" s="10">
        <v>10024</v>
      </c>
      <c r="B27" s="8">
        <v>3</v>
      </c>
      <c r="C27" s="6">
        <v>89.97</v>
      </c>
      <c r="F27" s="12" t="s">
        <v>269</v>
      </c>
      <c r="G27" s="12"/>
    </row>
    <row r="28" spans="1:7" x14ac:dyDescent="0.3">
      <c r="A28" s="10">
        <v>10025</v>
      </c>
      <c r="B28" s="8">
        <v>1</v>
      </c>
      <c r="C28" s="6">
        <v>299.99</v>
      </c>
      <c r="F28" s="2" t="s">
        <v>253</v>
      </c>
      <c r="G28" t="s">
        <v>256</v>
      </c>
    </row>
    <row r="29" spans="1:7" x14ac:dyDescent="0.3">
      <c r="A29" s="10">
        <v>10026</v>
      </c>
      <c r="B29" s="8">
        <v>1</v>
      </c>
      <c r="C29" s="6">
        <v>179.99</v>
      </c>
      <c r="F29" s="3" t="s">
        <v>259</v>
      </c>
      <c r="G29" s="6">
        <v>14548.319999999992</v>
      </c>
    </row>
    <row r="30" spans="1:7" x14ac:dyDescent="0.3">
      <c r="A30" s="10">
        <v>10027</v>
      </c>
      <c r="B30" s="8">
        <v>2</v>
      </c>
      <c r="C30" s="6">
        <v>359.98</v>
      </c>
      <c r="F30" s="3" t="s">
        <v>260</v>
      </c>
      <c r="G30" s="6">
        <v>10803.369999999999</v>
      </c>
    </row>
    <row r="31" spans="1:7" x14ac:dyDescent="0.3">
      <c r="A31" s="10">
        <v>10028</v>
      </c>
      <c r="B31" s="8">
        <v>3</v>
      </c>
      <c r="C31" s="6">
        <v>38.97</v>
      </c>
      <c r="F31" s="3" t="s">
        <v>261</v>
      </c>
      <c r="G31" s="6">
        <v>12849.239999999996</v>
      </c>
    </row>
    <row r="32" spans="1:7" x14ac:dyDescent="0.3">
      <c r="A32" s="10">
        <v>10029</v>
      </c>
      <c r="B32" s="8">
        <v>1</v>
      </c>
      <c r="C32" s="6">
        <v>29.99</v>
      </c>
      <c r="F32" s="3" t="s">
        <v>262</v>
      </c>
      <c r="G32" s="6">
        <v>12451.689999999995</v>
      </c>
    </row>
    <row r="33" spans="1:7" x14ac:dyDescent="0.3">
      <c r="A33" s="10">
        <v>10030</v>
      </c>
      <c r="B33" s="8">
        <v>2</v>
      </c>
      <c r="C33" s="6">
        <v>259.98</v>
      </c>
      <c r="F33" s="3" t="s">
        <v>263</v>
      </c>
      <c r="G33" s="6">
        <v>8455.49</v>
      </c>
    </row>
    <row r="34" spans="1:7" x14ac:dyDescent="0.3">
      <c r="A34" s="10">
        <v>10031</v>
      </c>
      <c r="B34" s="8">
        <v>2</v>
      </c>
      <c r="C34" s="6">
        <v>699.98</v>
      </c>
      <c r="F34" s="3" t="s">
        <v>264</v>
      </c>
      <c r="G34" s="6">
        <v>7384.5499999999984</v>
      </c>
    </row>
    <row r="35" spans="1:7" x14ac:dyDescent="0.3">
      <c r="A35" s="10">
        <v>10032</v>
      </c>
      <c r="B35" s="8">
        <v>3</v>
      </c>
      <c r="C35" s="6">
        <v>269.97000000000003</v>
      </c>
      <c r="F35" s="3" t="s">
        <v>265</v>
      </c>
      <c r="G35" s="6">
        <v>6797.08</v>
      </c>
    </row>
    <row r="36" spans="1:7" x14ac:dyDescent="0.3">
      <c r="A36" s="10">
        <v>10033</v>
      </c>
      <c r="B36" s="8">
        <v>5</v>
      </c>
      <c r="C36" s="6">
        <v>149.94999999999999</v>
      </c>
      <c r="F36" s="3" t="s">
        <v>266</v>
      </c>
      <c r="G36" s="6">
        <v>7278.1099999999988</v>
      </c>
    </row>
    <row r="37" spans="1:7" x14ac:dyDescent="0.3">
      <c r="A37" s="10">
        <v>10034</v>
      </c>
      <c r="B37" s="8">
        <v>4</v>
      </c>
      <c r="C37" s="6">
        <v>79.959999999999994</v>
      </c>
      <c r="F37" s="3" t="s">
        <v>258</v>
      </c>
      <c r="G37" s="6">
        <v>80567.849999999977</v>
      </c>
    </row>
    <row r="38" spans="1:7" x14ac:dyDescent="0.3">
      <c r="A38" s="10">
        <v>10035</v>
      </c>
      <c r="B38" s="8">
        <v>2</v>
      </c>
      <c r="C38" s="6">
        <v>79.98</v>
      </c>
    </row>
    <row r="39" spans="1:7" x14ac:dyDescent="0.3">
      <c r="A39" s="10">
        <v>10036</v>
      </c>
      <c r="B39" s="8">
        <v>1</v>
      </c>
      <c r="C39" s="6">
        <v>1895</v>
      </c>
    </row>
    <row r="40" spans="1:7" x14ac:dyDescent="0.3">
      <c r="A40" s="10">
        <v>10037</v>
      </c>
      <c r="B40" s="8">
        <v>3</v>
      </c>
      <c r="C40" s="6">
        <v>1199.97</v>
      </c>
    </row>
    <row r="41" spans="1:7" x14ac:dyDescent="0.3">
      <c r="A41" s="10">
        <v>10038</v>
      </c>
      <c r="B41" s="8">
        <v>2</v>
      </c>
      <c r="C41" s="6">
        <v>1599.98</v>
      </c>
    </row>
    <row r="42" spans="1:7" x14ac:dyDescent="0.3">
      <c r="A42" s="10">
        <v>10039</v>
      </c>
      <c r="B42" s="8">
        <v>4</v>
      </c>
      <c r="C42" s="6">
        <v>239.96</v>
      </c>
    </row>
    <row r="43" spans="1:7" x14ac:dyDescent="0.3">
      <c r="A43" s="10">
        <v>10040</v>
      </c>
      <c r="B43" s="8">
        <v>3</v>
      </c>
      <c r="C43" s="6">
        <v>74.97</v>
      </c>
    </row>
    <row r="44" spans="1:7" x14ac:dyDescent="0.3">
      <c r="A44" s="10">
        <v>10041</v>
      </c>
      <c r="B44" s="8">
        <v>1</v>
      </c>
      <c r="C44" s="6">
        <v>105</v>
      </c>
    </row>
    <row r="45" spans="1:7" x14ac:dyDescent="0.3">
      <c r="A45" s="10">
        <v>10042</v>
      </c>
      <c r="B45" s="8">
        <v>2</v>
      </c>
      <c r="C45" s="6">
        <v>259.98</v>
      </c>
    </row>
    <row r="46" spans="1:7" x14ac:dyDescent="0.3">
      <c r="A46" s="10">
        <v>10043</v>
      </c>
      <c r="B46" s="8">
        <v>3</v>
      </c>
      <c r="C46" s="6">
        <v>1199.97</v>
      </c>
    </row>
    <row r="47" spans="1:7" x14ac:dyDescent="0.3">
      <c r="A47" s="10">
        <v>10044</v>
      </c>
      <c r="B47" s="8">
        <v>1</v>
      </c>
      <c r="C47" s="6">
        <v>199.99</v>
      </c>
    </row>
    <row r="48" spans="1:7" x14ac:dyDescent="0.3">
      <c r="A48" s="10">
        <v>10045</v>
      </c>
      <c r="B48" s="8">
        <v>2</v>
      </c>
      <c r="C48" s="6">
        <v>279.98</v>
      </c>
    </row>
    <row r="49" spans="1:3" x14ac:dyDescent="0.3">
      <c r="A49" s="10">
        <v>10046</v>
      </c>
      <c r="B49" s="8">
        <v>4</v>
      </c>
      <c r="C49" s="6">
        <v>130</v>
      </c>
    </row>
    <row r="50" spans="1:3" x14ac:dyDescent="0.3">
      <c r="A50" s="10">
        <v>10047</v>
      </c>
      <c r="B50" s="8">
        <v>1</v>
      </c>
      <c r="C50" s="6">
        <v>52</v>
      </c>
    </row>
    <row r="51" spans="1:3" x14ac:dyDescent="0.3">
      <c r="A51" s="10">
        <v>10048</v>
      </c>
      <c r="B51" s="8">
        <v>6</v>
      </c>
      <c r="C51" s="6">
        <v>239.94</v>
      </c>
    </row>
    <row r="52" spans="1:3" x14ac:dyDescent="0.3">
      <c r="A52" s="10">
        <v>10049</v>
      </c>
      <c r="B52" s="8">
        <v>2</v>
      </c>
      <c r="C52" s="6">
        <v>259.98</v>
      </c>
    </row>
    <row r="53" spans="1:3" x14ac:dyDescent="0.3">
      <c r="A53" s="10">
        <v>10050</v>
      </c>
      <c r="B53" s="8">
        <v>1</v>
      </c>
      <c r="C53" s="6">
        <v>299.99</v>
      </c>
    </row>
    <row r="54" spans="1:3" x14ac:dyDescent="0.3">
      <c r="A54" s="10">
        <v>10051</v>
      </c>
      <c r="B54" s="8">
        <v>3</v>
      </c>
      <c r="C54" s="6">
        <v>464.97</v>
      </c>
    </row>
    <row r="55" spans="1:3" x14ac:dyDescent="0.3">
      <c r="A55" s="10">
        <v>10052</v>
      </c>
      <c r="B55" s="8">
        <v>2</v>
      </c>
      <c r="C55" s="6">
        <v>53.98</v>
      </c>
    </row>
    <row r="56" spans="1:3" x14ac:dyDescent="0.3">
      <c r="A56" s="10">
        <v>10053</v>
      </c>
      <c r="B56" s="8">
        <v>1</v>
      </c>
      <c r="C56" s="6">
        <v>49</v>
      </c>
    </row>
    <row r="57" spans="1:3" x14ac:dyDescent="0.3">
      <c r="A57" s="10">
        <v>10054</v>
      </c>
      <c r="B57" s="8">
        <v>5</v>
      </c>
      <c r="C57" s="6">
        <v>249.95</v>
      </c>
    </row>
    <row r="58" spans="1:3" x14ac:dyDescent="0.3">
      <c r="A58" s="10">
        <v>10055</v>
      </c>
      <c r="B58" s="8">
        <v>4</v>
      </c>
      <c r="C58" s="6">
        <v>239.96</v>
      </c>
    </row>
    <row r="59" spans="1:3" x14ac:dyDescent="0.3">
      <c r="A59" s="10">
        <v>10056</v>
      </c>
      <c r="B59" s="8">
        <v>1</v>
      </c>
      <c r="C59" s="6">
        <v>499.99</v>
      </c>
    </row>
    <row r="60" spans="1:3" x14ac:dyDescent="0.3">
      <c r="A60" s="10">
        <v>10057</v>
      </c>
      <c r="B60" s="8">
        <v>5</v>
      </c>
      <c r="C60" s="6">
        <v>149.94999999999999</v>
      </c>
    </row>
    <row r="61" spans="1:3" x14ac:dyDescent="0.3">
      <c r="A61" s="10">
        <v>10058</v>
      </c>
      <c r="B61" s="8">
        <v>3</v>
      </c>
      <c r="C61" s="6">
        <v>84</v>
      </c>
    </row>
    <row r="62" spans="1:3" x14ac:dyDescent="0.3">
      <c r="A62" s="10">
        <v>10059</v>
      </c>
      <c r="B62" s="8">
        <v>2</v>
      </c>
      <c r="C62" s="6">
        <v>46</v>
      </c>
    </row>
    <row r="63" spans="1:3" x14ac:dyDescent="0.3">
      <c r="A63" s="10">
        <v>10060</v>
      </c>
      <c r="B63" s="8">
        <v>1</v>
      </c>
      <c r="C63" s="6">
        <v>349</v>
      </c>
    </row>
    <row r="64" spans="1:3" x14ac:dyDescent="0.3">
      <c r="A64" s="10">
        <v>10061</v>
      </c>
      <c r="B64" s="8">
        <v>3</v>
      </c>
      <c r="C64" s="6">
        <v>899.97</v>
      </c>
    </row>
    <row r="65" spans="1:3" x14ac:dyDescent="0.3">
      <c r="A65" s="10">
        <v>10062</v>
      </c>
      <c r="B65" s="8">
        <v>2</v>
      </c>
      <c r="C65" s="6">
        <v>399.98</v>
      </c>
    </row>
    <row r="66" spans="1:3" x14ac:dyDescent="0.3">
      <c r="A66" s="10">
        <v>10063</v>
      </c>
      <c r="B66" s="8">
        <v>10</v>
      </c>
      <c r="C66" s="6">
        <v>99.9</v>
      </c>
    </row>
    <row r="67" spans="1:3" x14ac:dyDescent="0.3">
      <c r="A67" s="10">
        <v>10064</v>
      </c>
      <c r="B67" s="8">
        <v>4</v>
      </c>
      <c r="C67" s="6">
        <v>75.959999999999994</v>
      </c>
    </row>
    <row r="68" spans="1:3" x14ac:dyDescent="0.3">
      <c r="A68" s="10">
        <v>10065</v>
      </c>
      <c r="B68" s="8">
        <v>1</v>
      </c>
      <c r="C68" s="6">
        <v>102</v>
      </c>
    </row>
    <row r="69" spans="1:3" x14ac:dyDescent="0.3">
      <c r="A69" s="10">
        <v>10066</v>
      </c>
      <c r="B69" s="8">
        <v>2</v>
      </c>
      <c r="C69" s="6">
        <v>599.98</v>
      </c>
    </row>
    <row r="70" spans="1:3" x14ac:dyDescent="0.3">
      <c r="A70" s="10">
        <v>10067</v>
      </c>
      <c r="B70" s="8">
        <v>1</v>
      </c>
      <c r="C70" s="6">
        <v>1199.99</v>
      </c>
    </row>
    <row r="71" spans="1:3" x14ac:dyDescent="0.3">
      <c r="A71" s="10">
        <v>10068</v>
      </c>
      <c r="B71" s="8">
        <v>3</v>
      </c>
      <c r="C71" s="6">
        <v>659.97</v>
      </c>
    </row>
    <row r="72" spans="1:3" x14ac:dyDescent="0.3">
      <c r="A72" s="10">
        <v>10069</v>
      </c>
      <c r="B72" s="8">
        <v>4</v>
      </c>
      <c r="C72" s="6">
        <v>239.96</v>
      </c>
    </row>
    <row r="73" spans="1:3" x14ac:dyDescent="0.3">
      <c r="A73" s="10">
        <v>10070</v>
      </c>
      <c r="B73" s="8">
        <v>2</v>
      </c>
      <c r="C73" s="6">
        <v>21.98</v>
      </c>
    </row>
    <row r="74" spans="1:3" x14ac:dyDescent="0.3">
      <c r="A74" s="10">
        <v>10071</v>
      </c>
      <c r="B74" s="8">
        <v>1</v>
      </c>
      <c r="C74" s="6">
        <v>78</v>
      </c>
    </row>
    <row r="75" spans="1:3" x14ac:dyDescent="0.3">
      <c r="A75" s="10">
        <v>10072</v>
      </c>
      <c r="B75" s="8">
        <v>3</v>
      </c>
      <c r="C75" s="6">
        <v>389.97</v>
      </c>
    </row>
    <row r="76" spans="1:3" x14ac:dyDescent="0.3">
      <c r="A76" s="10">
        <v>10073</v>
      </c>
      <c r="B76" s="8">
        <v>1</v>
      </c>
      <c r="C76" s="6">
        <v>1599.99</v>
      </c>
    </row>
    <row r="77" spans="1:3" x14ac:dyDescent="0.3">
      <c r="A77" s="10">
        <v>10074</v>
      </c>
      <c r="B77" s="8">
        <v>1</v>
      </c>
      <c r="C77" s="6">
        <v>899.99</v>
      </c>
    </row>
    <row r="78" spans="1:3" x14ac:dyDescent="0.3">
      <c r="A78" s="10">
        <v>10075</v>
      </c>
      <c r="B78" s="8">
        <v>5</v>
      </c>
      <c r="C78" s="6">
        <v>249.95</v>
      </c>
    </row>
    <row r="79" spans="1:3" x14ac:dyDescent="0.3">
      <c r="A79" s="10">
        <v>10076</v>
      </c>
      <c r="B79" s="8">
        <v>4</v>
      </c>
      <c r="C79" s="6">
        <v>59.96</v>
      </c>
    </row>
    <row r="80" spans="1:3" x14ac:dyDescent="0.3">
      <c r="A80" s="10">
        <v>10077</v>
      </c>
      <c r="B80" s="8">
        <v>2</v>
      </c>
      <c r="C80" s="6">
        <v>32</v>
      </c>
    </row>
    <row r="81" spans="1:3" x14ac:dyDescent="0.3">
      <c r="A81" s="10">
        <v>10078</v>
      </c>
      <c r="B81" s="8">
        <v>3</v>
      </c>
      <c r="C81" s="6">
        <v>209.97</v>
      </c>
    </row>
    <row r="82" spans="1:3" x14ac:dyDescent="0.3">
      <c r="A82" s="10">
        <v>10079</v>
      </c>
      <c r="B82" s="8">
        <v>2</v>
      </c>
      <c r="C82" s="6">
        <v>499.98</v>
      </c>
    </row>
    <row r="83" spans="1:3" x14ac:dyDescent="0.3">
      <c r="A83" s="10">
        <v>10080</v>
      </c>
      <c r="B83" s="8">
        <v>1</v>
      </c>
      <c r="C83" s="6">
        <v>499.99</v>
      </c>
    </row>
    <row r="84" spans="1:3" x14ac:dyDescent="0.3">
      <c r="A84" s="10">
        <v>10081</v>
      </c>
      <c r="B84" s="8">
        <v>2</v>
      </c>
      <c r="C84" s="6">
        <v>179.98</v>
      </c>
    </row>
    <row r="85" spans="1:3" x14ac:dyDescent="0.3">
      <c r="A85" s="10">
        <v>10082</v>
      </c>
      <c r="B85" s="8">
        <v>3</v>
      </c>
      <c r="C85" s="6">
        <v>38.97</v>
      </c>
    </row>
    <row r="86" spans="1:3" x14ac:dyDescent="0.3">
      <c r="A86" s="10">
        <v>10083</v>
      </c>
      <c r="B86" s="8">
        <v>1</v>
      </c>
      <c r="C86" s="6">
        <v>100</v>
      </c>
    </row>
    <row r="87" spans="1:3" x14ac:dyDescent="0.3">
      <c r="A87" s="10">
        <v>10084</v>
      </c>
      <c r="B87" s="8">
        <v>6</v>
      </c>
      <c r="C87" s="6">
        <v>149.94</v>
      </c>
    </row>
    <row r="88" spans="1:3" x14ac:dyDescent="0.3">
      <c r="A88" s="10">
        <v>10085</v>
      </c>
      <c r="B88" s="8">
        <v>1</v>
      </c>
      <c r="C88" s="6">
        <v>99.99</v>
      </c>
    </row>
    <row r="89" spans="1:3" x14ac:dyDescent="0.3">
      <c r="A89" s="10">
        <v>10086</v>
      </c>
      <c r="B89" s="8">
        <v>2</v>
      </c>
      <c r="C89" s="6">
        <v>2599.98</v>
      </c>
    </row>
    <row r="90" spans="1:3" x14ac:dyDescent="0.3">
      <c r="A90" s="10">
        <v>10087</v>
      </c>
      <c r="B90" s="8">
        <v>3</v>
      </c>
      <c r="C90" s="6">
        <v>239.97</v>
      </c>
    </row>
    <row r="91" spans="1:3" x14ac:dyDescent="0.3">
      <c r="A91" s="10">
        <v>10088</v>
      </c>
      <c r="B91" s="8">
        <v>4</v>
      </c>
      <c r="C91" s="6">
        <v>55.96</v>
      </c>
    </row>
    <row r="92" spans="1:3" x14ac:dyDescent="0.3">
      <c r="A92" s="10">
        <v>10089</v>
      </c>
      <c r="B92" s="8">
        <v>1</v>
      </c>
      <c r="C92" s="6">
        <v>105</v>
      </c>
    </row>
    <row r="93" spans="1:3" x14ac:dyDescent="0.3">
      <c r="A93" s="10">
        <v>10090</v>
      </c>
      <c r="B93" s="8">
        <v>2</v>
      </c>
      <c r="C93" s="6">
        <v>259.98</v>
      </c>
    </row>
    <row r="94" spans="1:3" x14ac:dyDescent="0.3">
      <c r="A94" s="10">
        <v>10091</v>
      </c>
      <c r="B94" s="8">
        <v>2</v>
      </c>
      <c r="C94" s="6">
        <v>199.98</v>
      </c>
    </row>
    <row r="95" spans="1:3" x14ac:dyDescent="0.3">
      <c r="A95" s="10">
        <v>10092</v>
      </c>
      <c r="B95" s="8">
        <v>1</v>
      </c>
      <c r="C95" s="6">
        <v>179.99</v>
      </c>
    </row>
    <row r="96" spans="1:3" x14ac:dyDescent="0.3">
      <c r="A96" s="10">
        <v>10093</v>
      </c>
      <c r="B96" s="8">
        <v>4</v>
      </c>
      <c r="C96" s="6">
        <v>319.95999999999998</v>
      </c>
    </row>
    <row r="97" spans="1:3" x14ac:dyDescent="0.3">
      <c r="A97" s="10">
        <v>10094</v>
      </c>
      <c r="B97" s="8">
        <v>3</v>
      </c>
      <c r="C97" s="6">
        <v>44.97</v>
      </c>
    </row>
    <row r="98" spans="1:3" x14ac:dyDescent="0.3">
      <c r="A98" s="10">
        <v>10095</v>
      </c>
      <c r="B98" s="8">
        <v>1</v>
      </c>
      <c r="C98" s="6">
        <v>68</v>
      </c>
    </row>
    <row r="99" spans="1:3" x14ac:dyDescent="0.3">
      <c r="A99" s="10">
        <v>10096</v>
      </c>
      <c r="B99" s="8">
        <v>1</v>
      </c>
      <c r="C99" s="6">
        <v>999.99</v>
      </c>
    </row>
    <row r="100" spans="1:3" x14ac:dyDescent="0.3">
      <c r="A100" s="10">
        <v>10097</v>
      </c>
      <c r="B100" s="8">
        <v>3</v>
      </c>
      <c r="C100" s="6">
        <v>899.97</v>
      </c>
    </row>
    <row r="101" spans="1:3" x14ac:dyDescent="0.3">
      <c r="A101" s="10">
        <v>10098</v>
      </c>
      <c r="B101" s="8">
        <v>1</v>
      </c>
      <c r="C101" s="6">
        <v>349.99</v>
      </c>
    </row>
    <row r="102" spans="1:3" x14ac:dyDescent="0.3">
      <c r="A102" s="10">
        <v>10099</v>
      </c>
      <c r="B102" s="8">
        <v>6</v>
      </c>
      <c r="C102" s="6">
        <v>119.94</v>
      </c>
    </row>
    <row r="103" spans="1:3" x14ac:dyDescent="0.3">
      <c r="A103" s="10">
        <v>10100</v>
      </c>
      <c r="B103" s="8">
        <v>2</v>
      </c>
      <c r="C103" s="6">
        <v>25.98</v>
      </c>
    </row>
    <row r="104" spans="1:3" x14ac:dyDescent="0.3">
      <c r="A104" s="10">
        <v>10101</v>
      </c>
      <c r="B104" s="8">
        <v>1</v>
      </c>
      <c r="C104" s="6">
        <v>82</v>
      </c>
    </row>
    <row r="105" spans="1:3" x14ac:dyDescent="0.3">
      <c r="A105" s="10">
        <v>10102</v>
      </c>
      <c r="B105" s="8">
        <v>2</v>
      </c>
      <c r="C105" s="6">
        <v>219.98</v>
      </c>
    </row>
    <row r="106" spans="1:3" x14ac:dyDescent="0.3">
      <c r="A106" s="10">
        <v>10103</v>
      </c>
      <c r="B106" s="8">
        <v>1</v>
      </c>
      <c r="C106" s="6">
        <v>3899.99</v>
      </c>
    </row>
    <row r="107" spans="1:3" x14ac:dyDescent="0.3">
      <c r="A107" s="10">
        <v>10104</v>
      </c>
      <c r="B107" s="8">
        <v>2</v>
      </c>
      <c r="C107" s="6">
        <v>699.98</v>
      </c>
    </row>
    <row r="108" spans="1:3" x14ac:dyDescent="0.3">
      <c r="A108" s="10">
        <v>10105</v>
      </c>
      <c r="B108" s="8">
        <v>3</v>
      </c>
      <c r="C108" s="6">
        <v>119.97</v>
      </c>
    </row>
    <row r="109" spans="1:3" x14ac:dyDescent="0.3">
      <c r="A109" s="10">
        <v>10106</v>
      </c>
      <c r="B109" s="8">
        <v>4</v>
      </c>
      <c r="C109" s="6">
        <v>43.96</v>
      </c>
    </row>
    <row r="110" spans="1:3" x14ac:dyDescent="0.3">
      <c r="A110" s="10">
        <v>10107</v>
      </c>
      <c r="B110" s="8">
        <v>1</v>
      </c>
      <c r="C110" s="6">
        <v>6.5</v>
      </c>
    </row>
    <row r="111" spans="1:3" x14ac:dyDescent="0.3">
      <c r="A111" s="10">
        <v>10108</v>
      </c>
      <c r="B111" s="8">
        <v>1</v>
      </c>
      <c r="C111" s="6">
        <v>399.99</v>
      </c>
    </row>
    <row r="112" spans="1:3" x14ac:dyDescent="0.3">
      <c r="A112" s="10">
        <v>10109</v>
      </c>
      <c r="B112" s="8">
        <v>2</v>
      </c>
      <c r="C112" s="6">
        <v>459.98</v>
      </c>
    </row>
    <row r="113" spans="1:3" x14ac:dyDescent="0.3">
      <c r="A113" s="10">
        <v>10110</v>
      </c>
      <c r="B113" s="8">
        <v>1</v>
      </c>
      <c r="C113" s="6">
        <v>159.99</v>
      </c>
    </row>
    <row r="114" spans="1:3" x14ac:dyDescent="0.3">
      <c r="A114" s="10">
        <v>10111</v>
      </c>
      <c r="B114" s="8">
        <v>4</v>
      </c>
      <c r="C114" s="6">
        <v>59.96</v>
      </c>
    </row>
    <row r="115" spans="1:3" x14ac:dyDescent="0.3">
      <c r="A115" s="10">
        <v>10112</v>
      </c>
      <c r="B115" s="8">
        <v>2</v>
      </c>
      <c r="C115" s="6">
        <v>37.979999999999997</v>
      </c>
    </row>
    <row r="116" spans="1:3" x14ac:dyDescent="0.3">
      <c r="A116" s="10">
        <v>10113</v>
      </c>
      <c r="B116" s="8">
        <v>1</v>
      </c>
      <c r="C116" s="6">
        <v>15</v>
      </c>
    </row>
    <row r="117" spans="1:3" x14ac:dyDescent="0.3">
      <c r="A117" s="10">
        <v>10114</v>
      </c>
      <c r="B117" s="8">
        <v>3</v>
      </c>
      <c r="C117" s="6">
        <v>689.85</v>
      </c>
    </row>
    <row r="118" spans="1:3" x14ac:dyDescent="0.3">
      <c r="A118" s="10">
        <v>10115</v>
      </c>
      <c r="B118" s="8">
        <v>1</v>
      </c>
      <c r="C118" s="6">
        <v>249.99</v>
      </c>
    </row>
    <row r="119" spans="1:3" x14ac:dyDescent="0.3">
      <c r="A119" s="10">
        <v>10116</v>
      </c>
      <c r="B119" s="8">
        <v>2</v>
      </c>
      <c r="C119" s="6">
        <v>599.9</v>
      </c>
    </row>
    <row r="120" spans="1:3" x14ac:dyDescent="0.3">
      <c r="A120" s="10">
        <v>10117</v>
      </c>
      <c r="B120" s="8">
        <v>3</v>
      </c>
      <c r="C120" s="6">
        <v>149.97</v>
      </c>
    </row>
    <row r="121" spans="1:3" x14ac:dyDescent="0.3">
      <c r="A121" s="10">
        <v>10118</v>
      </c>
      <c r="B121" s="8">
        <v>4</v>
      </c>
      <c r="C121" s="6">
        <v>67.959999999999994</v>
      </c>
    </row>
    <row r="122" spans="1:3" x14ac:dyDescent="0.3">
      <c r="A122" s="10">
        <v>10119</v>
      </c>
      <c r="B122" s="8">
        <v>2</v>
      </c>
      <c r="C122" s="6">
        <v>29.98</v>
      </c>
    </row>
    <row r="123" spans="1:3" x14ac:dyDescent="0.3">
      <c r="A123" s="10">
        <v>10120</v>
      </c>
      <c r="B123" s="8">
        <v>1</v>
      </c>
      <c r="C123" s="6">
        <v>249.99</v>
      </c>
    </row>
    <row r="124" spans="1:3" x14ac:dyDescent="0.3">
      <c r="A124" s="10">
        <v>10121</v>
      </c>
      <c r="B124" s="8">
        <v>2</v>
      </c>
      <c r="C124" s="6">
        <v>1199.98</v>
      </c>
    </row>
    <row r="125" spans="1:3" x14ac:dyDescent="0.3">
      <c r="A125" s="10">
        <v>10122</v>
      </c>
      <c r="B125" s="8">
        <v>1</v>
      </c>
      <c r="C125" s="6">
        <v>89.99</v>
      </c>
    </row>
    <row r="126" spans="1:3" x14ac:dyDescent="0.3">
      <c r="A126" s="10">
        <v>10123</v>
      </c>
      <c r="B126" s="8">
        <v>5</v>
      </c>
      <c r="C126" s="6">
        <v>64.95</v>
      </c>
    </row>
    <row r="127" spans="1:3" x14ac:dyDescent="0.3">
      <c r="A127" s="10">
        <v>10124</v>
      </c>
      <c r="B127" s="8">
        <v>3</v>
      </c>
      <c r="C127" s="6">
        <v>44.97</v>
      </c>
    </row>
    <row r="128" spans="1:3" x14ac:dyDescent="0.3">
      <c r="A128" s="10">
        <v>10125</v>
      </c>
      <c r="B128" s="8">
        <v>1</v>
      </c>
      <c r="C128" s="6">
        <v>30</v>
      </c>
    </row>
    <row r="129" spans="1:3" x14ac:dyDescent="0.3">
      <c r="A129" s="10">
        <v>10126</v>
      </c>
      <c r="B129" s="8">
        <v>1</v>
      </c>
      <c r="C129" s="6">
        <v>199.99</v>
      </c>
    </row>
    <row r="130" spans="1:3" x14ac:dyDescent="0.3">
      <c r="A130" s="10">
        <v>10127</v>
      </c>
      <c r="B130" s="8">
        <v>1</v>
      </c>
      <c r="C130" s="6">
        <v>499.99</v>
      </c>
    </row>
    <row r="131" spans="1:3" x14ac:dyDescent="0.3">
      <c r="A131" s="10">
        <v>10128</v>
      </c>
      <c r="B131" s="8">
        <v>2</v>
      </c>
      <c r="C131" s="6">
        <v>799.98</v>
      </c>
    </row>
    <row r="132" spans="1:3" x14ac:dyDescent="0.3">
      <c r="A132" s="10">
        <v>10129</v>
      </c>
      <c r="B132" s="8">
        <v>3</v>
      </c>
      <c r="C132" s="6">
        <v>294</v>
      </c>
    </row>
    <row r="133" spans="1:3" x14ac:dyDescent="0.3">
      <c r="A133" s="10">
        <v>10130</v>
      </c>
      <c r="B133" s="8">
        <v>2</v>
      </c>
      <c r="C133" s="6">
        <v>17.98</v>
      </c>
    </row>
    <row r="134" spans="1:3" x14ac:dyDescent="0.3">
      <c r="A134" s="10">
        <v>10131</v>
      </c>
      <c r="B134" s="8">
        <v>1</v>
      </c>
      <c r="C134" s="6">
        <v>36</v>
      </c>
    </row>
    <row r="135" spans="1:3" x14ac:dyDescent="0.3">
      <c r="A135" s="10">
        <v>10132</v>
      </c>
      <c r="B135" s="8">
        <v>4</v>
      </c>
      <c r="C135" s="6">
        <v>159.80000000000001</v>
      </c>
    </row>
    <row r="136" spans="1:3" x14ac:dyDescent="0.3">
      <c r="A136" s="10">
        <v>10133</v>
      </c>
      <c r="B136" s="8">
        <v>1</v>
      </c>
      <c r="C136" s="6">
        <v>1299.99</v>
      </c>
    </row>
    <row r="137" spans="1:3" x14ac:dyDescent="0.3">
      <c r="A137" s="10">
        <v>10134</v>
      </c>
      <c r="B137" s="8">
        <v>2</v>
      </c>
      <c r="C137" s="6">
        <v>159.97999999999999</v>
      </c>
    </row>
    <row r="138" spans="1:3" x14ac:dyDescent="0.3">
      <c r="A138" s="10">
        <v>10135</v>
      </c>
      <c r="B138" s="8">
        <v>4</v>
      </c>
      <c r="C138" s="6">
        <v>139.96</v>
      </c>
    </row>
    <row r="139" spans="1:3" x14ac:dyDescent="0.3">
      <c r="A139" s="10">
        <v>10136</v>
      </c>
      <c r="B139" s="8">
        <v>3</v>
      </c>
      <c r="C139" s="6">
        <v>29.97</v>
      </c>
    </row>
    <row r="140" spans="1:3" x14ac:dyDescent="0.3">
      <c r="A140" s="10">
        <v>10137</v>
      </c>
      <c r="B140" s="8">
        <v>1</v>
      </c>
      <c r="C140" s="6">
        <v>6.8</v>
      </c>
    </row>
    <row r="141" spans="1:3" x14ac:dyDescent="0.3">
      <c r="A141" s="10">
        <v>10138</v>
      </c>
      <c r="B141" s="8">
        <v>2</v>
      </c>
      <c r="C141" s="6">
        <v>199.9</v>
      </c>
    </row>
    <row r="142" spans="1:3" x14ac:dyDescent="0.3">
      <c r="A142" s="10">
        <v>10139</v>
      </c>
      <c r="B142" s="8">
        <v>1</v>
      </c>
      <c r="C142" s="6">
        <v>1499.99</v>
      </c>
    </row>
    <row r="143" spans="1:3" x14ac:dyDescent="0.3">
      <c r="A143" s="10">
        <v>10140</v>
      </c>
      <c r="B143" s="8">
        <v>1</v>
      </c>
      <c r="C143" s="6">
        <v>139.99</v>
      </c>
    </row>
    <row r="144" spans="1:3" x14ac:dyDescent="0.3">
      <c r="A144" s="10">
        <v>10141</v>
      </c>
      <c r="B144" s="8">
        <v>3</v>
      </c>
      <c r="C144" s="6">
        <v>134.97</v>
      </c>
    </row>
    <row r="145" spans="1:3" x14ac:dyDescent="0.3">
      <c r="A145" s="10">
        <v>10142</v>
      </c>
      <c r="B145" s="8">
        <v>2</v>
      </c>
      <c r="C145" s="6">
        <v>23.98</v>
      </c>
    </row>
    <row r="146" spans="1:3" x14ac:dyDescent="0.3">
      <c r="A146" s="10">
        <v>10143</v>
      </c>
      <c r="B146" s="8">
        <v>1</v>
      </c>
      <c r="C146" s="6">
        <v>29.5</v>
      </c>
    </row>
    <row r="147" spans="1:3" x14ac:dyDescent="0.3">
      <c r="A147" s="10">
        <v>10144</v>
      </c>
      <c r="B147" s="8">
        <v>1</v>
      </c>
      <c r="C147" s="6">
        <v>299.99</v>
      </c>
    </row>
    <row r="148" spans="1:3" x14ac:dyDescent="0.3">
      <c r="A148" s="10">
        <v>10145</v>
      </c>
      <c r="B148" s="8">
        <v>1</v>
      </c>
      <c r="C148" s="6">
        <v>549</v>
      </c>
    </row>
    <row r="149" spans="1:3" x14ac:dyDescent="0.3">
      <c r="A149" s="10">
        <v>10146</v>
      </c>
      <c r="B149" s="8">
        <v>2</v>
      </c>
      <c r="C149" s="6">
        <v>399.9</v>
      </c>
    </row>
    <row r="150" spans="1:3" x14ac:dyDescent="0.3">
      <c r="A150" s="10">
        <v>10147</v>
      </c>
      <c r="B150" s="8">
        <v>2</v>
      </c>
      <c r="C150" s="6">
        <v>196</v>
      </c>
    </row>
    <row r="151" spans="1:3" x14ac:dyDescent="0.3">
      <c r="A151" s="10">
        <v>10148</v>
      </c>
      <c r="B151" s="8">
        <v>3</v>
      </c>
      <c r="C151" s="6">
        <v>32.97</v>
      </c>
    </row>
    <row r="152" spans="1:3" x14ac:dyDescent="0.3">
      <c r="A152" s="10">
        <v>10149</v>
      </c>
      <c r="B152" s="8">
        <v>1</v>
      </c>
      <c r="C152" s="6">
        <v>25</v>
      </c>
    </row>
    <row r="153" spans="1:3" x14ac:dyDescent="0.3">
      <c r="A153" s="10">
        <v>10150</v>
      </c>
      <c r="B153" s="8">
        <v>2</v>
      </c>
      <c r="C153" s="6">
        <v>299.98</v>
      </c>
    </row>
    <row r="154" spans="1:3" x14ac:dyDescent="0.3">
      <c r="A154" s="10">
        <v>10151</v>
      </c>
      <c r="B154" s="8">
        <v>1</v>
      </c>
      <c r="C154" s="6">
        <v>349.99</v>
      </c>
    </row>
    <row r="155" spans="1:3" x14ac:dyDescent="0.3">
      <c r="A155" s="10">
        <v>10152</v>
      </c>
      <c r="B155" s="8">
        <v>2</v>
      </c>
      <c r="C155" s="6">
        <v>399.98</v>
      </c>
    </row>
    <row r="156" spans="1:3" x14ac:dyDescent="0.3">
      <c r="A156" s="10">
        <v>10153</v>
      </c>
      <c r="B156" s="8">
        <v>3</v>
      </c>
      <c r="C156" s="6">
        <v>164.97</v>
      </c>
    </row>
    <row r="157" spans="1:3" x14ac:dyDescent="0.3">
      <c r="A157" s="10">
        <v>10154</v>
      </c>
      <c r="B157" s="8">
        <v>2</v>
      </c>
      <c r="C157" s="6">
        <v>33.979999999999997</v>
      </c>
    </row>
    <row r="158" spans="1:3" x14ac:dyDescent="0.3">
      <c r="A158" s="10">
        <v>10155</v>
      </c>
      <c r="B158" s="8">
        <v>1</v>
      </c>
      <c r="C158" s="6">
        <v>59</v>
      </c>
    </row>
    <row r="159" spans="1:3" x14ac:dyDescent="0.3">
      <c r="A159" s="10">
        <v>10156</v>
      </c>
      <c r="B159" s="8">
        <v>1</v>
      </c>
      <c r="C159" s="6">
        <v>299.99</v>
      </c>
    </row>
    <row r="160" spans="1:3" x14ac:dyDescent="0.3">
      <c r="A160" s="10">
        <v>10157</v>
      </c>
      <c r="B160" s="8">
        <v>1</v>
      </c>
      <c r="C160" s="6">
        <v>899.99</v>
      </c>
    </row>
    <row r="161" spans="1:3" x14ac:dyDescent="0.3">
      <c r="A161" s="10">
        <v>10158</v>
      </c>
      <c r="B161" s="8">
        <v>1</v>
      </c>
      <c r="C161" s="6">
        <v>499.95</v>
      </c>
    </row>
    <row r="162" spans="1:3" x14ac:dyDescent="0.3">
      <c r="A162" s="10">
        <v>10159</v>
      </c>
      <c r="B162" s="8">
        <v>4</v>
      </c>
      <c r="C162" s="6">
        <v>99.96</v>
      </c>
    </row>
    <row r="163" spans="1:3" x14ac:dyDescent="0.3">
      <c r="A163" s="10">
        <v>10160</v>
      </c>
      <c r="B163" s="8">
        <v>3</v>
      </c>
      <c r="C163" s="6">
        <v>23.97</v>
      </c>
    </row>
    <row r="164" spans="1:3" x14ac:dyDescent="0.3">
      <c r="A164" s="10">
        <v>10161</v>
      </c>
      <c r="B164" s="8">
        <v>1</v>
      </c>
      <c r="C164" s="6">
        <v>36</v>
      </c>
    </row>
    <row r="165" spans="1:3" x14ac:dyDescent="0.3">
      <c r="A165" s="10">
        <v>10162</v>
      </c>
      <c r="B165" s="8">
        <v>2</v>
      </c>
      <c r="C165" s="6">
        <v>69.98</v>
      </c>
    </row>
    <row r="166" spans="1:3" x14ac:dyDescent="0.3">
      <c r="A166" s="10">
        <v>10163</v>
      </c>
      <c r="B166" s="8">
        <v>1</v>
      </c>
      <c r="C166" s="6">
        <v>1199.99</v>
      </c>
    </row>
    <row r="167" spans="1:3" x14ac:dyDescent="0.3">
      <c r="A167" s="10">
        <v>10164</v>
      </c>
      <c r="B167" s="8">
        <v>1</v>
      </c>
      <c r="C167" s="6">
        <v>199.99</v>
      </c>
    </row>
    <row r="168" spans="1:3" x14ac:dyDescent="0.3">
      <c r="A168" s="10">
        <v>10165</v>
      </c>
      <c r="B168" s="8">
        <v>5</v>
      </c>
      <c r="C168" s="6">
        <v>149.94999999999999</v>
      </c>
    </row>
    <row r="169" spans="1:3" x14ac:dyDescent="0.3">
      <c r="A169" s="10">
        <v>10166</v>
      </c>
      <c r="B169" s="8">
        <v>4</v>
      </c>
      <c r="C169" s="6">
        <v>35.96</v>
      </c>
    </row>
    <row r="170" spans="1:3" x14ac:dyDescent="0.3">
      <c r="A170" s="10">
        <v>10167</v>
      </c>
      <c r="B170" s="8">
        <v>1</v>
      </c>
      <c r="C170" s="6">
        <v>16.989999999999998</v>
      </c>
    </row>
    <row r="171" spans="1:3" x14ac:dyDescent="0.3">
      <c r="A171" s="10">
        <v>10168</v>
      </c>
      <c r="B171" s="8">
        <v>3</v>
      </c>
      <c r="C171" s="6">
        <v>149.97</v>
      </c>
    </row>
    <row r="172" spans="1:3" x14ac:dyDescent="0.3">
      <c r="A172" s="10">
        <v>10169</v>
      </c>
      <c r="B172" s="8">
        <v>1</v>
      </c>
      <c r="C172" s="6">
        <v>699.99</v>
      </c>
    </row>
    <row r="173" spans="1:3" x14ac:dyDescent="0.3">
      <c r="A173" s="10">
        <v>10170</v>
      </c>
      <c r="B173" s="8">
        <v>2</v>
      </c>
      <c r="C173" s="6">
        <v>279.98</v>
      </c>
    </row>
    <row r="174" spans="1:3" x14ac:dyDescent="0.3">
      <c r="A174" s="10">
        <v>10171</v>
      </c>
      <c r="B174" s="8">
        <v>3</v>
      </c>
      <c r="C174" s="6">
        <v>104.97</v>
      </c>
    </row>
    <row r="175" spans="1:3" x14ac:dyDescent="0.3">
      <c r="A175" s="10">
        <v>10172</v>
      </c>
      <c r="B175" s="8">
        <v>2</v>
      </c>
      <c r="C175" s="6">
        <v>19.98</v>
      </c>
    </row>
    <row r="176" spans="1:3" x14ac:dyDescent="0.3">
      <c r="A176" s="10">
        <v>10173</v>
      </c>
      <c r="B176" s="8">
        <v>1</v>
      </c>
      <c r="C176" s="6">
        <v>29.5</v>
      </c>
    </row>
    <row r="177" spans="1:3" x14ac:dyDescent="0.3">
      <c r="A177" s="10">
        <v>10174</v>
      </c>
      <c r="B177" s="8">
        <v>1</v>
      </c>
      <c r="C177" s="6">
        <v>699.99</v>
      </c>
    </row>
    <row r="178" spans="1:3" x14ac:dyDescent="0.3">
      <c r="A178" s="10">
        <v>10175</v>
      </c>
      <c r="B178" s="8">
        <v>3</v>
      </c>
      <c r="C178" s="6">
        <v>149.97</v>
      </c>
    </row>
    <row r="179" spans="1:3" x14ac:dyDescent="0.3">
      <c r="A179" s="10">
        <v>10176</v>
      </c>
      <c r="B179" s="8">
        <v>2</v>
      </c>
      <c r="C179" s="6">
        <v>99.98</v>
      </c>
    </row>
    <row r="180" spans="1:3" x14ac:dyDescent="0.3">
      <c r="A180" s="10">
        <v>10177</v>
      </c>
      <c r="B180" s="8">
        <v>4</v>
      </c>
      <c r="C180" s="6">
        <v>59.6</v>
      </c>
    </row>
    <row r="181" spans="1:3" x14ac:dyDescent="0.3">
      <c r="A181" s="10">
        <v>10178</v>
      </c>
      <c r="B181" s="8">
        <v>3</v>
      </c>
      <c r="C181" s="6">
        <v>35.97</v>
      </c>
    </row>
    <row r="182" spans="1:3" x14ac:dyDescent="0.3">
      <c r="A182" s="10">
        <v>10179</v>
      </c>
      <c r="B182" s="8">
        <v>2</v>
      </c>
      <c r="C182" s="6">
        <v>68</v>
      </c>
    </row>
    <row r="183" spans="1:3" x14ac:dyDescent="0.3">
      <c r="A183" s="10">
        <v>10180</v>
      </c>
      <c r="B183" s="8">
        <v>1</v>
      </c>
      <c r="C183" s="6">
        <v>146</v>
      </c>
    </row>
    <row r="184" spans="1:3" x14ac:dyDescent="0.3">
      <c r="A184" s="10">
        <v>10181</v>
      </c>
      <c r="B184" s="8">
        <v>1</v>
      </c>
      <c r="C184" s="6">
        <v>649.99</v>
      </c>
    </row>
    <row r="185" spans="1:3" x14ac:dyDescent="0.3">
      <c r="A185" s="10">
        <v>10182</v>
      </c>
      <c r="B185" s="8">
        <v>1</v>
      </c>
      <c r="C185" s="6">
        <v>399.99</v>
      </c>
    </row>
    <row r="186" spans="1:3" x14ac:dyDescent="0.3">
      <c r="A186" s="10">
        <v>10183</v>
      </c>
      <c r="B186" s="8">
        <v>3</v>
      </c>
      <c r="C186" s="6">
        <v>179.97</v>
      </c>
    </row>
    <row r="187" spans="1:3" x14ac:dyDescent="0.3">
      <c r="A187" s="10">
        <v>10184</v>
      </c>
      <c r="B187" s="8">
        <v>2</v>
      </c>
      <c r="C187" s="6">
        <v>25.98</v>
      </c>
    </row>
    <row r="188" spans="1:3" x14ac:dyDescent="0.3">
      <c r="A188" s="10">
        <v>10185</v>
      </c>
      <c r="B188" s="8">
        <v>1</v>
      </c>
      <c r="C188" s="6">
        <v>190</v>
      </c>
    </row>
    <row r="189" spans="1:3" x14ac:dyDescent="0.3">
      <c r="A189" s="10">
        <v>10186</v>
      </c>
      <c r="B189" s="8">
        <v>1</v>
      </c>
      <c r="C189" s="6">
        <v>499.95</v>
      </c>
    </row>
    <row r="190" spans="1:3" x14ac:dyDescent="0.3">
      <c r="A190" s="10">
        <v>10187</v>
      </c>
      <c r="B190" s="8">
        <v>1</v>
      </c>
      <c r="C190" s="6">
        <v>399</v>
      </c>
    </row>
    <row r="191" spans="1:3" x14ac:dyDescent="0.3">
      <c r="A191" s="10">
        <v>10188</v>
      </c>
      <c r="B191" s="8">
        <v>2</v>
      </c>
      <c r="C191" s="6">
        <v>398</v>
      </c>
    </row>
    <row r="192" spans="1:3" x14ac:dyDescent="0.3">
      <c r="A192" s="10">
        <v>10189</v>
      </c>
      <c r="B192" s="8">
        <v>4</v>
      </c>
      <c r="C192" s="6">
        <v>139.96</v>
      </c>
    </row>
    <row r="193" spans="1:3" x14ac:dyDescent="0.3">
      <c r="A193" s="10">
        <v>10190</v>
      </c>
      <c r="B193" s="8">
        <v>3</v>
      </c>
      <c r="C193" s="6">
        <v>32.97</v>
      </c>
    </row>
    <row r="194" spans="1:3" x14ac:dyDescent="0.3">
      <c r="A194" s="10">
        <v>10191</v>
      </c>
      <c r="B194" s="8">
        <v>1</v>
      </c>
      <c r="C194" s="6">
        <v>18</v>
      </c>
    </row>
    <row r="195" spans="1:3" x14ac:dyDescent="0.3">
      <c r="A195" s="10">
        <v>10192</v>
      </c>
      <c r="B195" s="8">
        <v>1</v>
      </c>
      <c r="C195" s="6">
        <v>169.95</v>
      </c>
    </row>
    <row r="196" spans="1:3" x14ac:dyDescent="0.3">
      <c r="A196" s="10">
        <v>10193</v>
      </c>
      <c r="B196" s="8">
        <v>1</v>
      </c>
      <c r="C196" s="6">
        <v>199.99</v>
      </c>
    </row>
    <row r="197" spans="1:3" x14ac:dyDescent="0.3">
      <c r="A197" s="10">
        <v>10194</v>
      </c>
      <c r="B197" s="8">
        <v>1</v>
      </c>
      <c r="C197" s="6">
        <v>199.95</v>
      </c>
    </row>
    <row r="198" spans="1:3" x14ac:dyDescent="0.3">
      <c r="A198" s="10">
        <v>10195</v>
      </c>
      <c r="B198" s="8">
        <v>2</v>
      </c>
      <c r="C198" s="6">
        <v>359.98</v>
      </c>
    </row>
    <row r="199" spans="1:3" x14ac:dyDescent="0.3">
      <c r="A199" s="10">
        <v>10196</v>
      </c>
      <c r="B199" s="8">
        <v>2</v>
      </c>
      <c r="C199" s="6">
        <v>23.98</v>
      </c>
    </row>
    <row r="200" spans="1:3" x14ac:dyDescent="0.3">
      <c r="A200" s="10">
        <v>10197</v>
      </c>
      <c r="B200" s="8">
        <v>1</v>
      </c>
      <c r="C200" s="6">
        <v>125</v>
      </c>
    </row>
    <row r="201" spans="1:3" x14ac:dyDescent="0.3">
      <c r="A201" s="10">
        <v>10198</v>
      </c>
      <c r="B201" s="8">
        <v>1</v>
      </c>
      <c r="C201" s="6">
        <v>449.99</v>
      </c>
    </row>
    <row r="202" spans="1:3" x14ac:dyDescent="0.3">
      <c r="A202" s="10">
        <v>10199</v>
      </c>
      <c r="B202" s="8">
        <v>2</v>
      </c>
      <c r="C202" s="6">
        <v>358</v>
      </c>
    </row>
    <row r="203" spans="1:3" x14ac:dyDescent="0.3">
      <c r="A203" s="10">
        <v>10200</v>
      </c>
      <c r="B203" s="8">
        <v>1</v>
      </c>
      <c r="C203" s="6">
        <v>99.95</v>
      </c>
    </row>
    <row r="204" spans="1:3" x14ac:dyDescent="0.3">
      <c r="A204" s="10">
        <v>10201</v>
      </c>
      <c r="B204" s="8">
        <v>3</v>
      </c>
      <c r="C204" s="6">
        <v>179.97</v>
      </c>
    </row>
    <row r="205" spans="1:3" x14ac:dyDescent="0.3">
      <c r="A205" s="10">
        <v>10202</v>
      </c>
      <c r="B205" s="8">
        <v>2</v>
      </c>
      <c r="C205" s="6">
        <v>29.98</v>
      </c>
    </row>
    <row r="206" spans="1:3" x14ac:dyDescent="0.3">
      <c r="A206" s="10">
        <v>10203</v>
      </c>
      <c r="B206" s="8">
        <v>1</v>
      </c>
      <c r="C206" s="6">
        <v>52</v>
      </c>
    </row>
    <row r="207" spans="1:3" x14ac:dyDescent="0.3">
      <c r="A207" s="10">
        <v>10204</v>
      </c>
      <c r="B207" s="8">
        <v>1</v>
      </c>
      <c r="C207" s="6">
        <v>399.99</v>
      </c>
    </row>
    <row r="208" spans="1:3" x14ac:dyDescent="0.3">
      <c r="A208" s="10">
        <v>10205</v>
      </c>
      <c r="B208" s="8">
        <v>1</v>
      </c>
      <c r="C208" s="6">
        <v>299.99</v>
      </c>
    </row>
    <row r="209" spans="1:3" x14ac:dyDescent="0.3">
      <c r="A209" s="10">
        <v>10206</v>
      </c>
      <c r="B209" s="8">
        <v>1</v>
      </c>
      <c r="C209" s="6">
        <v>379.99</v>
      </c>
    </row>
    <row r="210" spans="1:3" x14ac:dyDescent="0.3">
      <c r="A210" s="10">
        <v>10207</v>
      </c>
      <c r="B210" s="8">
        <v>2</v>
      </c>
      <c r="C210" s="6">
        <v>196</v>
      </c>
    </row>
    <row r="211" spans="1:3" x14ac:dyDescent="0.3">
      <c r="A211" s="10">
        <v>10208</v>
      </c>
      <c r="B211" s="8">
        <v>3</v>
      </c>
      <c r="C211" s="6">
        <v>50.97</v>
      </c>
    </row>
    <row r="212" spans="1:3" x14ac:dyDescent="0.3">
      <c r="A212" s="10">
        <v>10209</v>
      </c>
      <c r="B212" s="8">
        <v>1</v>
      </c>
      <c r="C212" s="6">
        <v>79</v>
      </c>
    </row>
    <row r="213" spans="1:3" x14ac:dyDescent="0.3">
      <c r="A213" s="10">
        <v>10210</v>
      </c>
      <c r="B213" s="8">
        <v>1</v>
      </c>
      <c r="C213" s="6">
        <v>129</v>
      </c>
    </row>
    <row r="214" spans="1:3" x14ac:dyDescent="0.3">
      <c r="A214" s="10">
        <v>10211</v>
      </c>
      <c r="B214" s="8">
        <v>1</v>
      </c>
      <c r="C214" s="6">
        <v>749.99</v>
      </c>
    </row>
    <row r="215" spans="1:3" x14ac:dyDescent="0.3">
      <c r="A215" s="10">
        <v>10212</v>
      </c>
      <c r="B215" s="8">
        <v>2</v>
      </c>
      <c r="C215" s="6">
        <v>339.98</v>
      </c>
    </row>
    <row r="216" spans="1:3" x14ac:dyDescent="0.3">
      <c r="A216" s="10">
        <v>10213</v>
      </c>
      <c r="B216" s="8">
        <v>4</v>
      </c>
      <c r="C216" s="6">
        <v>39.6</v>
      </c>
    </row>
    <row r="217" spans="1:3" x14ac:dyDescent="0.3">
      <c r="A217" s="10">
        <v>10214</v>
      </c>
      <c r="B217" s="8">
        <v>3</v>
      </c>
      <c r="C217" s="6">
        <v>32.97</v>
      </c>
    </row>
    <row r="218" spans="1:3" x14ac:dyDescent="0.3">
      <c r="A218" s="10">
        <v>10215</v>
      </c>
      <c r="B218" s="8">
        <v>2</v>
      </c>
      <c r="C218" s="6">
        <v>58</v>
      </c>
    </row>
    <row r="219" spans="1:3" x14ac:dyDescent="0.3">
      <c r="A219" s="10">
        <v>10216</v>
      </c>
      <c r="B219" s="8">
        <v>1</v>
      </c>
      <c r="C219" s="6">
        <v>349.99</v>
      </c>
    </row>
    <row r="220" spans="1:3" x14ac:dyDescent="0.3">
      <c r="A220" s="10">
        <v>10217</v>
      </c>
      <c r="B220" s="8">
        <v>1</v>
      </c>
      <c r="C220" s="6">
        <v>2399</v>
      </c>
    </row>
    <row r="221" spans="1:3" x14ac:dyDescent="0.3">
      <c r="A221" s="10">
        <v>10218</v>
      </c>
      <c r="B221" s="8">
        <v>1</v>
      </c>
      <c r="C221" s="6">
        <v>449.99</v>
      </c>
    </row>
    <row r="222" spans="1:3" x14ac:dyDescent="0.3">
      <c r="A222" s="10">
        <v>10219</v>
      </c>
      <c r="B222" s="8">
        <v>3</v>
      </c>
      <c r="C222" s="6">
        <v>149.97</v>
      </c>
    </row>
    <row r="223" spans="1:3" x14ac:dyDescent="0.3">
      <c r="A223" s="10">
        <v>10220</v>
      </c>
      <c r="B223" s="8">
        <v>2</v>
      </c>
      <c r="C223" s="6">
        <v>25.98</v>
      </c>
    </row>
    <row r="224" spans="1:3" x14ac:dyDescent="0.3">
      <c r="A224" s="10">
        <v>10221</v>
      </c>
      <c r="B224" s="8">
        <v>1</v>
      </c>
      <c r="C224" s="6">
        <v>27</v>
      </c>
    </row>
    <row r="225" spans="1:3" x14ac:dyDescent="0.3">
      <c r="A225" s="10">
        <v>10222</v>
      </c>
      <c r="B225" s="8">
        <v>1</v>
      </c>
      <c r="C225" s="6">
        <v>599.99</v>
      </c>
    </row>
    <row r="226" spans="1:3" x14ac:dyDescent="0.3">
      <c r="A226" s="10">
        <v>10223</v>
      </c>
      <c r="B226" s="8">
        <v>4</v>
      </c>
      <c r="C226" s="6">
        <v>199.96</v>
      </c>
    </row>
    <row r="227" spans="1:3" x14ac:dyDescent="0.3">
      <c r="A227" s="10">
        <v>10224</v>
      </c>
      <c r="B227" s="8">
        <v>2</v>
      </c>
      <c r="C227" s="6">
        <v>459.98</v>
      </c>
    </row>
    <row r="228" spans="1:3" x14ac:dyDescent="0.3">
      <c r="A228" s="10">
        <v>10225</v>
      </c>
      <c r="B228" s="8">
        <v>2</v>
      </c>
      <c r="C228" s="6">
        <v>89.98</v>
      </c>
    </row>
    <row r="229" spans="1:3" x14ac:dyDescent="0.3">
      <c r="A229" s="10">
        <v>10226</v>
      </c>
      <c r="B229" s="8">
        <v>3</v>
      </c>
      <c r="C229" s="6">
        <v>80.97</v>
      </c>
    </row>
    <row r="230" spans="1:3" x14ac:dyDescent="0.3">
      <c r="A230" s="10">
        <v>10227</v>
      </c>
      <c r="B230" s="8">
        <v>1</v>
      </c>
      <c r="C230" s="6">
        <v>6.7</v>
      </c>
    </row>
    <row r="231" spans="1:3" x14ac:dyDescent="0.3">
      <c r="A231" s="10">
        <v>10228</v>
      </c>
      <c r="B231" s="8">
        <v>2</v>
      </c>
      <c r="C231" s="6">
        <v>299.89999999999998</v>
      </c>
    </row>
    <row r="232" spans="1:3" x14ac:dyDescent="0.3">
      <c r="A232" s="10">
        <v>10229</v>
      </c>
      <c r="B232" s="8">
        <v>1</v>
      </c>
      <c r="C232" s="6">
        <v>169</v>
      </c>
    </row>
    <row r="233" spans="1:3" x14ac:dyDescent="0.3">
      <c r="A233" s="10">
        <v>10230</v>
      </c>
      <c r="B233" s="8">
        <v>1</v>
      </c>
      <c r="C233" s="6">
        <v>599</v>
      </c>
    </row>
    <row r="234" spans="1:3" x14ac:dyDescent="0.3">
      <c r="A234" s="10">
        <v>10231</v>
      </c>
      <c r="B234" s="8">
        <v>4</v>
      </c>
      <c r="C234" s="6">
        <v>259.95999999999998</v>
      </c>
    </row>
    <row r="235" spans="1:3" x14ac:dyDescent="0.3">
      <c r="A235" s="10">
        <v>10232</v>
      </c>
      <c r="B235" s="8">
        <v>2</v>
      </c>
      <c r="C235" s="6">
        <v>19.98</v>
      </c>
    </row>
    <row r="236" spans="1:3" x14ac:dyDescent="0.3">
      <c r="A236" s="10">
        <v>10233</v>
      </c>
      <c r="B236" s="8">
        <v>1</v>
      </c>
      <c r="C236" s="6">
        <v>24</v>
      </c>
    </row>
    <row r="237" spans="1:3" x14ac:dyDescent="0.3">
      <c r="A237" s="10">
        <v>10234</v>
      </c>
      <c r="B237" s="8">
        <v>3</v>
      </c>
      <c r="C237" s="6">
        <v>98.85</v>
      </c>
    </row>
    <row r="238" spans="1:3" x14ac:dyDescent="0.3">
      <c r="A238" s="10">
        <v>10235</v>
      </c>
      <c r="B238" s="8">
        <v>1</v>
      </c>
      <c r="C238" s="6">
        <v>299</v>
      </c>
    </row>
    <row r="239" spans="1:3" x14ac:dyDescent="0.3">
      <c r="A239" s="10">
        <v>10236</v>
      </c>
      <c r="B239" s="8">
        <v>1</v>
      </c>
      <c r="C239" s="6">
        <v>159.99</v>
      </c>
    </row>
    <row r="240" spans="1:3" x14ac:dyDescent="0.3">
      <c r="A240" s="10">
        <v>10237</v>
      </c>
      <c r="B240" s="8">
        <v>3</v>
      </c>
      <c r="C240" s="6">
        <v>270</v>
      </c>
    </row>
    <row r="241" spans="1:3" x14ac:dyDescent="0.3">
      <c r="A241" s="10">
        <v>10238</v>
      </c>
      <c r="B241" s="8">
        <v>3</v>
      </c>
      <c r="C241" s="6">
        <v>32.97</v>
      </c>
    </row>
    <row r="242" spans="1:3" x14ac:dyDescent="0.3">
      <c r="A242" s="10">
        <v>10239</v>
      </c>
      <c r="B242" s="8">
        <v>1</v>
      </c>
      <c r="C242" s="6">
        <v>55</v>
      </c>
    </row>
    <row r="243" spans="1:3" x14ac:dyDescent="0.3">
      <c r="A243" s="10">
        <v>10240</v>
      </c>
      <c r="B243" s="8">
        <v>2</v>
      </c>
      <c r="C243" s="6">
        <v>59.98</v>
      </c>
    </row>
    <row r="244" spans="1:3" x14ac:dyDescent="0.3">
      <c r="A244" s="10" t="s">
        <v>258</v>
      </c>
      <c r="B244" s="8">
        <v>518</v>
      </c>
      <c r="C244" s="6">
        <v>80567.850000000079</v>
      </c>
    </row>
    <row r="246" spans="1:3" x14ac:dyDescent="0.3">
      <c r="A246" s="11" t="s">
        <v>273</v>
      </c>
      <c r="B246" s="11">
        <f>COUNT(A4:A243)</f>
        <v>240</v>
      </c>
    </row>
    <row r="248" spans="1:3" x14ac:dyDescent="0.3">
      <c r="A248" s="11" t="s">
        <v>274</v>
      </c>
      <c r="B248" s="11">
        <f>SUM(B4:B243)</f>
        <v>518</v>
      </c>
    </row>
  </sheetData>
  <mergeCells count="5">
    <mergeCell ref="J2:K2"/>
    <mergeCell ref="F9:G9"/>
    <mergeCell ref="F2:G2"/>
    <mergeCell ref="F19:G19"/>
    <mergeCell ref="F27:G27"/>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B5440-A693-4508-96D9-98587F8C9C83}">
  <dimension ref="X19:Z30"/>
  <sheetViews>
    <sheetView showGridLines="0" zoomScale="56" workbookViewId="0">
      <selection activeCell="AE49" sqref="AE49"/>
    </sheetView>
  </sheetViews>
  <sheetFormatPr defaultRowHeight="14.4" x14ac:dyDescent="0.3"/>
  <sheetData>
    <row r="19" spans="24:26" x14ac:dyDescent="0.3">
      <c r="Z19" s="8">
        <f>'Pivot Analysis'!B246</f>
        <v>240</v>
      </c>
    </row>
    <row r="30" spans="24:26" x14ac:dyDescent="0.3">
      <c r="X30"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Analysis</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Mounika Naraboyini</dc:creator>
  <cp:lastModifiedBy>Mounika Naraboyini</cp:lastModifiedBy>
  <dcterms:created xsi:type="dcterms:W3CDTF">2026-03-05T10:09:05Z</dcterms:created>
  <dcterms:modified xsi:type="dcterms:W3CDTF">2026-03-08T10:55:29Z</dcterms:modified>
</cp:coreProperties>
</file>